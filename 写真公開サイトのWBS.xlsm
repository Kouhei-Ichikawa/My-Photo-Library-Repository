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2" yWindow="42" windowWidth="5005" windowHeight="5103"/>
  </bookViews>
  <sheets>
    <sheet name="WBS" sheetId="1" r:id="rId1"/>
    <sheet name="ガント" sheetId="2" r:id="rId2"/>
    <sheet name="DB表情報" sheetId="3" r:id="rId3"/>
    <sheet name="SQL" sheetId="4" r:id="rId4"/>
    <sheet name="ユーザ" sheetId="5" r:id="rId5"/>
    <sheet name="テーブルメモ" sheetId="6" r:id="rId6"/>
    <sheet name="調べたこと" sheetId="7" r:id="rId7"/>
    <sheet name="変数メモ" sheetId="8" r:id="rId8"/>
  </sheets>
  <calcPr calcId="145621"/>
</workbook>
</file>

<file path=xl/calcChain.xml><?xml version="1.0" encoding="utf-8"?>
<calcChain xmlns="http://schemas.openxmlformats.org/spreadsheetml/2006/main">
  <c r="L6" i="6" l="1"/>
  <c r="L50" i="6"/>
  <c r="L49" i="6"/>
  <c r="L48" i="6"/>
  <c r="L47" i="6"/>
  <c r="L46" i="6"/>
  <c r="L45" i="6"/>
  <c r="L44" i="6"/>
  <c r="L43" i="6"/>
  <c r="L42" i="6"/>
  <c r="L41" i="6"/>
  <c r="L40" i="6"/>
  <c r="L39" i="6"/>
  <c r="L38" i="6"/>
  <c r="L28" i="6"/>
  <c r="L29" i="6"/>
  <c r="L30" i="6"/>
  <c r="L31" i="6"/>
  <c r="L32" i="6"/>
  <c r="L33" i="6"/>
  <c r="L34" i="6"/>
  <c r="L35" i="6"/>
  <c r="L36" i="6"/>
  <c r="L37" i="6"/>
  <c r="L25" i="6" l="1"/>
  <c r="L7" i="6"/>
  <c r="L8" i="6"/>
  <c r="L9" i="6"/>
  <c r="L10" i="6"/>
  <c r="L11" i="6"/>
  <c r="L12" i="6"/>
  <c r="L13" i="6"/>
  <c r="L14" i="6"/>
  <c r="L15" i="6"/>
  <c r="L16" i="6"/>
  <c r="L17" i="6"/>
  <c r="L18" i="6"/>
  <c r="L19" i="6"/>
  <c r="L20" i="6"/>
  <c r="L21" i="6"/>
  <c r="L22" i="6"/>
  <c r="L23" i="6"/>
  <c r="L24" i="6"/>
  <c r="F49" i="1" l="1"/>
</calcChain>
</file>

<file path=xl/comments1.xml><?xml version="1.0" encoding="utf-8"?>
<comments xmlns="http://schemas.openxmlformats.org/spreadsheetml/2006/main">
  <authors>
    <author>kouhei</author>
  </authors>
  <commentList>
    <comment ref="R26" authorId="0">
      <text>
        <r>
          <rPr>
            <b/>
            <sz val="9"/>
            <color indexed="81"/>
            <rFont val="ＭＳ Ｐゴシック"/>
            <family val="3"/>
            <charset val="128"/>
          </rPr>
          <t>kouhei:</t>
        </r>
        <r>
          <rPr>
            <sz val="9"/>
            <color indexed="81"/>
            <rFont val="ＭＳ Ｐゴシック"/>
            <family val="3"/>
            <charset val="128"/>
          </rPr>
          <t xml:space="preserve">
時間がかかったのは
・phpでDBに接続する設定(oci)：情報はあったが内容が難しかった。
・javascript(jQuery)：過去にやった時の情報を残していなかったのでjavascript、jQuery、使ったプラグイン(slick)の使い方を一から確認しなければならなかった。</t>
        </r>
      </text>
    </comment>
    <comment ref="Z30" authorId="0">
      <text>
        <r>
          <rPr>
            <b/>
            <sz val="9"/>
            <color indexed="81"/>
            <rFont val="ＭＳ Ｐゴシック"/>
            <family val="3"/>
            <charset val="128"/>
          </rPr>
          <t>kouhei:</t>
        </r>
        <r>
          <rPr>
            <sz val="9"/>
            <color indexed="81"/>
            <rFont val="ＭＳ Ｐゴシック"/>
            <family val="3"/>
            <charset val="128"/>
          </rPr>
          <t xml:space="preserve">
時間がかかったのは
・form要素を使わないでjavascriptからphpへ変数の値を渡す方法があるか探した結果、見つからなかったため</t>
        </r>
      </text>
    </comment>
    <comment ref="AN32" authorId="0">
      <text>
        <r>
          <rPr>
            <b/>
            <sz val="9"/>
            <color indexed="81"/>
            <rFont val="ＭＳ Ｐゴシック"/>
            <family val="3"/>
            <charset val="128"/>
          </rPr>
          <t>kouhei:</t>
        </r>
        <r>
          <rPr>
            <sz val="9"/>
            <color indexed="81"/>
            <rFont val="ＭＳ Ｐゴシック"/>
            <family val="3"/>
            <charset val="128"/>
          </rPr>
          <t xml:space="preserve">
時間がかかったのは
・topページ、検索結果ページ、画像表示ページそれぞれとスライドからの移動、検索して移動してきた場合のそれぞれのパターンで総合的に確認が必要だったため。
・検索方法の実装ごとに確認することが必要だったため。</t>
        </r>
      </text>
    </comment>
    <comment ref="AN44" authorId="0">
      <text>
        <r>
          <rPr>
            <b/>
            <sz val="9"/>
            <color indexed="81"/>
            <rFont val="ＭＳ Ｐゴシック"/>
            <family val="3"/>
            <charset val="128"/>
          </rPr>
          <t xml:space="preserve">kouhei:
</t>
        </r>
        <r>
          <rPr>
            <sz val="9"/>
            <color indexed="81"/>
            <rFont val="ＭＳ Ｐゴシック"/>
            <family val="3"/>
            <charset val="128"/>
          </rPr>
          <t>時間がかかったのは
・タスクとして日付検索、お気に入り検索、詳細検索の3つがあったので倍の工数が必要だった。
・javascriptで日付検索を作成するときに躓いたところがあった。</t>
        </r>
      </text>
    </comment>
    <comment ref="AN46" authorId="0">
      <text>
        <r>
          <rPr>
            <b/>
            <sz val="9"/>
            <color indexed="81"/>
            <rFont val="ＭＳ Ｐゴシック"/>
            <family val="3"/>
            <charset val="128"/>
          </rPr>
          <t>kouhei:</t>
        </r>
        <r>
          <rPr>
            <sz val="9"/>
            <color indexed="81"/>
            <rFont val="ＭＳ Ｐゴシック"/>
            <family val="3"/>
            <charset val="128"/>
          </rPr>
          <t xml:space="preserve">
時間がかかったのは
・topページ、検索結果ページ、画像表示ページそれぞれとスライドからの移動、検索して移動してきた場合のそれぞれのパターンで総合的に確認が必要だったため。
・検索方法の実装ごとに確認することが必要だったため。</t>
        </r>
      </text>
    </comment>
    <comment ref="AN50" authorId="0">
      <text>
        <r>
          <rPr>
            <b/>
            <sz val="9"/>
            <color indexed="81"/>
            <rFont val="ＭＳ Ｐゴシック"/>
            <family val="3"/>
            <charset val="128"/>
          </rPr>
          <t>kouhei:</t>
        </r>
        <r>
          <rPr>
            <sz val="9"/>
            <color indexed="81"/>
            <rFont val="ＭＳ Ｐゴシック"/>
            <family val="3"/>
            <charset val="128"/>
          </rPr>
          <t xml:space="preserve">
時間がかかったのは
・検索方法の実装ごとに調整と確認することが必要だったため、結果的に検索方法と同じ数だけ検索結果一覧ページにもプログラムの作成した。</t>
        </r>
      </text>
    </comment>
    <comment ref="AN52" authorId="0">
      <text>
        <r>
          <rPr>
            <b/>
            <sz val="9"/>
            <color indexed="81"/>
            <rFont val="ＭＳ Ｐゴシック"/>
            <family val="3"/>
            <charset val="128"/>
          </rPr>
          <t>kouhei:</t>
        </r>
        <r>
          <rPr>
            <sz val="9"/>
            <color indexed="81"/>
            <rFont val="ＭＳ Ｐゴシック"/>
            <family val="3"/>
            <charset val="128"/>
          </rPr>
          <t xml:space="preserve">
時間がかかったのは
・topページ、検索結果ページ、画像表示ページそれぞれとスライドからの移動、検索して移動してきた場合のそれぞれのパターンで総合的に確認が必要だったため。
・検索方法の実装ごとに確認することが必要だったため。</t>
        </r>
      </text>
    </comment>
    <comment ref="BK62" authorId="0">
      <text>
        <r>
          <rPr>
            <b/>
            <sz val="9"/>
            <color indexed="81"/>
            <rFont val="ＭＳ Ｐゴシック"/>
            <family val="3"/>
            <charset val="128"/>
          </rPr>
          <t>kouhei:</t>
        </r>
        <r>
          <rPr>
            <sz val="9"/>
            <color indexed="81"/>
            <rFont val="ＭＳ Ｐゴシック"/>
            <family val="3"/>
            <charset val="128"/>
          </rPr>
          <t xml:space="preserve">
時間がかかったのは
・javascriptで要素を操作する方法を1から勉強したから。
・アップロードの方法が実現可能なものか確認していた。
・UIをテストしつつ調整していた。
・exifの回転を反映させる方法を考えてた。
・インジケータを表示させる方法を考えてた。</t>
        </r>
      </text>
    </comment>
  </commentList>
</comments>
</file>

<file path=xl/sharedStrings.xml><?xml version="1.0" encoding="utf-8"?>
<sst xmlns="http://schemas.openxmlformats.org/spreadsheetml/2006/main" count="1177" uniqueCount="894">
  <si>
    <t>写真公開サイト</t>
    <rPh sb="0" eb="2">
      <t>シャシン</t>
    </rPh>
    <rPh sb="2" eb="4">
      <t>コウカイ</t>
    </rPh>
    <phoneticPr fontId="1"/>
  </si>
  <si>
    <t>レベル0</t>
    <phoneticPr fontId="1"/>
  </si>
  <si>
    <t>レベル1</t>
    <phoneticPr fontId="1"/>
  </si>
  <si>
    <t>データベース</t>
    <phoneticPr fontId="1"/>
  </si>
  <si>
    <t>サーバの設定</t>
    <rPh sb="4" eb="6">
      <t>セッテイ</t>
    </rPh>
    <phoneticPr fontId="1"/>
  </si>
  <si>
    <t>レベル2</t>
    <phoneticPr fontId="1"/>
  </si>
  <si>
    <t>ログインページ</t>
    <phoneticPr fontId="1"/>
  </si>
  <si>
    <t>検索ページ</t>
    <rPh sb="0" eb="2">
      <t>ケンサク</t>
    </rPh>
    <phoneticPr fontId="1"/>
  </si>
  <si>
    <t>検索結果一覧ページ</t>
    <rPh sb="4" eb="6">
      <t>イチラン</t>
    </rPh>
    <phoneticPr fontId="1"/>
  </si>
  <si>
    <t>Apache</t>
    <phoneticPr fontId="1"/>
  </si>
  <si>
    <t>セキュリティ</t>
    <phoneticPr fontId="1"/>
  </si>
  <si>
    <t>WBS</t>
    <phoneticPr fontId="1"/>
  </si>
  <si>
    <t>ユーザー設定ページ</t>
    <rPh sb="4" eb="6">
      <t>セッテイ</t>
    </rPh>
    <phoneticPr fontId="1"/>
  </si>
  <si>
    <t>レベル3</t>
    <phoneticPr fontId="1"/>
  </si>
  <si>
    <t>ページ</t>
    <phoneticPr fontId="1"/>
  </si>
  <si>
    <t>デザイン</t>
    <phoneticPr fontId="1"/>
  </si>
  <si>
    <t>各ページのデザイン</t>
    <rPh sb="0" eb="1">
      <t>カク</t>
    </rPh>
    <phoneticPr fontId="1"/>
  </si>
  <si>
    <t>表</t>
    <rPh sb="0" eb="1">
      <t>ヒョウ</t>
    </rPh>
    <phoneticPr fontId="1"/>
  </si>
  <si>
    <t>列名</t>
    <rPh sb="0" eb="1">
      <t>レツ</t>
    </rPh>
    <rPh sb="1" eb="2">
      <t>メイ</t>
    </rPh>
    <phoneticPr fontId="1"/>
  </si>
  <si>
    <t>データベース</t>
    <phoneticPr fontId="1"/>
  </si>
  <si>
    <t>入力規則</t>
    <rPh sb="0" eb="2">
      <t>ニュウリョク</t>
    </rPh>
    <rPh sb="2" eb="4">
      <t>キソク</t>
    </rPh>
    <phoneticPr fontId="1"/>
  </si>
  <si>
    <t>HTMLとCSS</t>
    <phoneticPr fontId="1"/>
  </si>
  <si>
    <t>javascriptとphp</t>
    <phoneticPr fontId="1"/>
  </si>
  <si>
    <t>ユーザ</t>
    <phoneticPr fontId="1"/>
  </si>
  <si>
    <t>アクティビティ</t>
    <phoneticPr fontId="1"/>
  </si>
  <si>
    <t>データベースを操作するユーザをリストアップする</t>
  </si>
  <si>
    <t>データベースを操作するユーザをリストアップする</t>
    <rPh sb="7" eb="9">
      <t>ソウサ</t>
    </rPh>
    <phoneticPr fontId="1"/>
  </si>
  <si>
    <t>各ページのつながりを決める</t>
    <rPh sb="0" eb="1">
      <t>カク</t>
    </rPh>
    <rPh sb="10" eb="11">
      <t>キ</t>
    </rPh>
    <phoneticPr fontId="1"/>
  </si>
  <si>
    <t>firewalldの設定をする</t>
  </si>
  <si>
    <t>firewalldの設定をする</t>
    <rPh sb="10" eb="12">
      <t>セッテイ</t>
    </rPh>
    <phoneticPr fontId="1"/>
  </si>
  <si>
    <t>firewalld</t>
    <phoneticPr fontId="1"/>
  </si>
  <si>
    <t>画像保存フォルダ</t>
    <rPh sb="0" eb="2">
      <t>ガゾウ</t>
    </rPh>
    <rPh sb="2" eb="4">
      <t>ホゾン</t>
    </rPh>
    <phoneticPr fontId="1"/>
  </si>
  <si>
    <t>NASをサーバにマウントする</t>
  </si>
  <si>
    <t>NASをサーバにマウントする</t>
    <phoneticPr fontId="1"/>
  </si>
  <si>
    <t>動作確認</t>
    <rPh sb="0" eb="2">
      <t>ドウサ</t>
    </rPh>
    <rPh sb="2" eb="4">
      <t>カクニン</t>
    </rPh>
    <phoneticPr fontId="1"/>
  </si>
  <si>
    <t>ガントチャート</t>
    <phoneticPr fontId="1"/>
  </si>
  <si>
    <t>アクティビティ</t>
    <phoneticPr fontId="1"/>
  </si>
  <si>
    <t>各ページのデザインする</t>
    <rPh sb="0" eb="1">
      <t>カク</t>
    </rPh>
    <phoneticPr fontId="1"/>
  </si>
  <si>
    <t>データベースで必要な表をリストアップする</t>
  </si>
  <si>
    <t>データベースで必要な表をリストアップする</t>
    <rPh sb="7" eb="9">
      <t>ヒツヨウ</t>
    </rPh>
    <rPh sb="10" eb="11">
      <t>ヒョウ</t>
    </rPh>
    <phoneticPr fontId="1"/>
  </si>
  <si>
    <t>データベースで表に乗せる情報をリストアップする</t>
  </si>
  <si>
    <t>データベースで表に乗せる情報をリストアップする</t>
    <rPh sb="7" eb="8">
      <t>ヒョウ</t>
    </rPh>
    <rPh sb="9" eb="10">
      <t>ノ</t>
    </rPh>
    <rPh sb="12" eb="14">
      <t>ジョウホウ</t>
    </rPh>
    <phoneticPr fontId="1"/>
  </si>
  <si>
    <t>表の入力規則を決める</t>
  </si>
  <si>
    <t>表の入力規則を決める</t>
    <rPh sb="0" eb="1">
      <t>ヒョウ</t>
    </rPh>
    <rPh sb="2" eb="4">
      <t>ニュウリョク</t>
    </rPh>
    <rPh sb="4" eb="6">
      <t>キソク</t>
    </rPh>
    <rPh sb="7" eb="8">
      <t>キ</t>
    </rPh>
    <phoneticPr fontId="1"/>
  </si>
  <si>
    <t>データベースのユーザの用途を決める</t>
  </si>
  <si>
    <t>データベースのユーザの用途を決める</t>
    <rPh sb="11" eb="13">
      <t>ヨウト</t>
    </rPh>
    <rPh sb="14" eb="15">
      <t>キ</t>
    </rPh>
    <phoneticPr fontId="1"/>
  </si>
  <si>
    <t>データベースのユーザの権限を決める</t>
  </si>
  <si>
    <t>データベースのユーザの権限を決める</t>
    <rPh sb="11" eb="13">
      <t>ケンゲン</t>
    </rPh>
    <rPh sb="14" eb="15">
      <t>キ</t>
    </rPh>
    <phoneticPr fontId="1"/>
  </si>
  <si>
    <t>ログインページのHTMLファイルを作成する</t>
  </si>
  <si>
    <t>ログインページのHTMLファイルを作成する</t>
    <rPh sb="17" eb="19">
      <t>サクセイ</t>
    </rPh>
    <phoneticPr fontId="1"/>
  </si>
  <si>
    <t>ログインページのプログラムを作成する</t>
  </si>
  <si>
    <t>ログインページのプログラムを作成する</t>
    <rPh sb="14" eb="16">
      <t>サクセイ</t>
    </rPh>
    <phoneticPr fontId="1"/>
  </si>
  <si>
    <t>ログインページと各ページとの連携を確認する</t>
  </si>
  <si>
    <t>ログインページと各ページとの連携を確認する</t>
    <rPh sb="8" eb="9">
      <t>カク</t>
    </rPh>
    <rPh sb="14" eb="16">
      <t>レンケイ</t>
    </rPh>
    <rPh sb="17" eb="19">
      <t>カクニン</t>
    </rPh>
    <phoneticPr fontId="1"/>
  </si>
  <si>
    <t>ログアウトページ</t>
    <phoneticPr fontId="1"/>
  </si>
  <si>
    <t>ログアウトページのHTMLファイルを作成する</t>
  </si>
  <si>
    <t>ログアウトページのHTMLファイルを作成する</t>
    <rPh sb="18" eb="20">
      <t>サクセイ</t>
    </rPh>
    <phoneticPr fontId="1"/>
  </si>
  <si>
    <t>ログアウトページのプログラムを作成する</t>
  </si>
  <si>
    <t>ログアウトページのプログラムを作成する</t>
    <rPh sb="15" eb="17">
      <t>サクセイ</t>
    </rPh>
    <phoneticPr fontId="1"/>
  </si>
  <si>
    <t>ログアウトページと各ページとの連携を確認する</t>
  </si>
  <si>
    <t>ログアウトページと各ページとの連携を確認する</t>
    <rPh sb="9" eb="10">
      <t>カク</t>
    </rPh>
    <rPh sb="15" eb="17">
      <t>レンケイ</t>
    </rPh>
    <rPh sb="18" eb="20">
      <t>カクニン</t>
    </rPh>
    <phoneticPr fontId="1"/>
  </si>
  <si>
    <t>トップページ</t>
    <phoneticPr fontId="1"/>
  </si>
  <si>
    <t>トップページのHTMLファイルを作成する</t>
  </si>
  <si>
    <t>トップページのHTMLファイルを作成する</t>
    <rPh sb="16" eb="18">
      <t>サクセイ</t>
    </rPh>
    <phoneticPr fontId="1"/>
  </si>
  <si>
    <t>トップページのプログラムを作成する</t>
  </si>
  <si>
    <t>トップページのプログラムを作成する</t>
    <rPh sb="13" eb="15">
      <t>サクセイ</t>
    </rPh>
    <phoneticPr fontId="1"/>
  </si>
  <si>
    <t>トップページと各ページとの連携を確認する</t>
    <rPh sb="7" eb="8">
      <t>カク</t>
    </rPh>
    <rPh sb="13" eb="15">
      <t>レンケイ</t>
    </rPh>
    <rPh sb="16" eb="18">
      <t>カクニン</t>
    </rPh>
    <phoneticPr fontId="1"/>
  </si>
  <si>
    <t>検索ページのHTMLファイルを作成する</t>
  </si>
  <si>
    <t>検索ページのHTMLファイルを作成する</t>
    <rPh sb="15" eb="17">
      <t>サクセイ</t>
    </rPh>
    <phoneticPr fontId="1"/>
  </si>
  <si>
    <t>検索ページのプログラムを作成する</t>
  </si>
  <si>
    <t>検索ページのプログラムを作成する</t>
    <rPh sb="12" eb="14">
      <t>サクセイ</t>
    </rPh>
    <phoneticPr fontId="1"/>
  </si>
  <si>
    <t>検索ページと各ページとの連携を確認する</t>
  </si>
  <si>
    <t>検索ページと各ページとの連携を確認する</t>
    <rPh sb="6" eb="7">
      <t>カク</t>
    </rPh>
    <rPh sb="12" eb="14">
      <t>レンケイ</t>
    </rPh>
    <rPh sb="15" eb="17">
      <t>カクニン</t>
    </rPh>
    <phoneticPr fontId="1"/>
  </si>
  <si>
    <t>検索結果一覧ページのHTMLファイルを作成する</t>
  </si>
  <si>
    <t>検索結果一覧ページのHTMLファイルを作成する</t>
    <rPh sb="19" eb="21">
      <t>サクセイ</t>
    </rPh>
    <phoneticPr fontId="1"/>
  </si>
  <si>
    <t>検索結果一覧ページのプログラムを作成する</t>
  </si>
  <si>
    <t>検索結果一覧ページのプログラムを作成する</t>
    <rPh sb="16" eb="18">
      <t>サクセイ</t>
    </rPh>
    <phoneticPr fontId="1"/>
  </si>
  <si>
    <t>検索結果一覧ページと各ページとの連携を確認する</t>
  </si>
  <si>
    <t>検索結果一覧ページと各ページとの連携を確認する</t>
    <rPh sb="10" eb="11">
      <t>カク</t>
    </rPh>
    <rPh sb="16" eb="18">
      <t>レンケイ</t>
    </rPh>
    <rPh sb="19" eb="21">
      <t>カクニン</t>
    </rPh>
    <phoneticPr fontId="1"/>
  </si>
  <si>
    <t>画像表示ページ</t>
    <phoneticPr fontId="1"/>
  </si>
  <si>
    <t>画像表示ページのHTMLファイルを作成する</t>
  </si>
  <si>
    <t>画像表示ページのHTMLファイルを作成する</t>
    <rPh sb="17" eb="19">
      <t>サクセイ</t>
    </rPh>
    <phoneticPr fontId="1"/>
  </si>
  <si>
    <t>画像表示ページのプログラムを作成する</t>
  </si>
  <si>
    <t>画像表示ページのプログラムを作成する</t>
    <rPh sb="14" eb="16">
      <t>サクセイ</t>
    </rPh>
    <phoneticPr fontId="1"/>
  </si>
  <si>
    <t>画像表示ページと各ページとの連携を確認する</t>
  </si>
  <si>
    <t>画像表示ページと各ページとの連携を確認する</t>
    <rPh sb="8" eb="9">
      <t>カク</t>
    </rPh>
    <rPh sb="14" eb="16">
      <t>レンケイ</t>
    </rPh>
    <rPh sb="17" eb="19">
      <t>カクニン</t>
    </rPh>
    <phoneticPr fontId="1"/>
  </si>
  <si>
    <t>登録情報編集ページのHTMLファイルを作成する</t>
  </si>
  <si>
    <t>登録情報編集ページのHTMLファイルを作成する</t>
    <rPh sb="19" eb="21">
      <t>サクセイ</t>
    </rPh>
    <phoneticPr fontId="1"/>
  </si>
  <si>
    <t>登録情報編集ページのプログラムを作成する</t>
  </si>
  <si>
    <t>登録情報編集ページのプログラムを作成する</t>
    <rPh sb="16" eb="18">
      <t>サクセイ</t>
    </rPh>
    <phoneticPr fontId="1"/>
  </si>
  <si>
    <t>登録情報編集ページと各ページとの連携を確認する</t>
  </si>
  <si>
    <t>登録情報編集ページと各ページとの連携を確認する</t>
    <rPh sb="10" eb="11">
      <t>カク</t>
    </rPh>
    <rPh sb="16" eb="18">
      <t>レンケイ</t>
    </rPh>
    <rPh sb="19" eb="21">
      <t>カクニン</t>
    </rPh>
    <phoneticPr fontId="1"/>
  </si>
  <si>
    <t>アップロードページ</t>
    <phoneticPr fontId="1"/>
  </si>
  <si>
    <t>アップロードページのHTMLファイルを作成する</t>
  </si>
  <si>
    <t>アップロードページのHTMLファイルを作成する</t>
    <rPh sb="19" eb="21">
      <t>サクセイ</t>
    </rPh>
    <phoneticPr fontId="1"/>
  </si>
  <si>
    <t>アップロードページのプログラムを作成する</t>
  </si>
  <si>
    <t>アップロードページのプログラムを作成する</t>
    <rPh sb="16" eb="18">
      <t>サクセイ</t>
    </rPh>
    <phoneticPr fontId="1"/>
  </si>
  <si>
    <t>アップロードページと各ページとの連携を確認する</t>
  </si>
  <si>
    <t>アップロードページと各ページとの連携を確認する</t>
    <rPh sb="10" eb="11">
      <t>カク</t>
    </rPh>
    <rPh sb="16" eb="18">
      <t>レンケイ</t>
    </rPh>
    <rPh sb="19" eb="21">
      <t>カクニン</t>
    </rPh>
    <phoneticPr fontId="1"/>
  </si>
  <si>
    <t>ユーザー設定ページのHTMLファイルを作成する</t>
  </si>
  <si>
    <t>ユーザー設定ページのHTMLファイルを作成する</t>
    <rPh sb="19" eb="21">
      <t>サクセイ</t>
    </rPh>
    <phoneticPr fontId="1"/>
  </si>
  <si>
    <t>ユーザー設定ページのプログラムを作成する</t>
  </si>
  <si>
    <t>ユーザー設定ページのプログラムを作成する</t>
    <rPh sb="16" eb="18">
      <t>サクセイ</t>
    </rPh>
    <phoneticPr fontId="1"/>
  </si>
  <si>
    <t>ユーザー設定ページと各ページとの連携を確認する</t>
  </si>
  <si>
    <t>ユーザー設定ページと各ページとの連携を確認する</t>
    <rPh sb="10" eb="11">
      <t>カク</t>
    </rPh>
    <rPh sb="16" eb="18">
      <t>レンケイ</t>
    </rPh>
    <rPh sb="19" eb="21">
      <t>カクニン</t>
    </rPh>
    <phoneticPr fontId="1"/>
  </si>
  <si>
    <t>データベースのユーザー作成する</t>
  </si>
  <si>
    <t>データベースのユーザー作成する</t>
    <rPh sb="11" eb="13">
      <t>サクセイ</t>
    </rPh>
    <phoneticPr fontId="1"/>
  </si>
  <si>
    <t>データベースで表を作成する</t>
  </si>
  <si>
    <t>データベースで表を作成する</t>
    <rPh sb="7" eb="8">
      <t>ヒョウ</t>
    </rPh>
    <rPh sb="9" eb="11">
      <t>サクセイ</t>
    </rPh>
    <phoneticPr fontId="1"/>
  </si>
  <si>
    <t>Apacheをインストールする</t>
  </si>
  <si>
    <t>Apacheをインストールする</t>
    <phoneticPr fontId="1"/>
  </si>
  <si>
    <t>Apacheの設定する</t>
  </si>
  <si>
    <t>Apacheの設定する</t>
    <rPh sb="7" eb="9">
      <t>セッテイ</t>
    </rPh>
    <phoneticPr fontId="1"/>
  </si>
  <si>
    <t>画像名とフォルダ名を命名規則に合わせて修正する</t>
  </si>
  <si>
    <t>画像名とフォルダ名を命名規則に合わせて修正する</t>
    <rPh sb="0" eb="2">
      <t>ガゾウ</t>
    </rPh>
    <rPh sb="2" eb="3">
      <t>メイ</t>
    </rPh>
    <rPh sb="8" eb="9">
      <t>メイ</t>
    </rPh>
    <rPh sb="10" eb="12">
      <t>メイメイ</t>
    </rPh>
    <rPh sb="12" eb="14">
      <t>キソク</t>
    </rPh>
    <rPh sb="15" eb="16">
      <t>ア</t>
    </rPh>
    <rPh sb="19" eb="21">
      <t>シュウセイ</t>
    </rPh>
    <phoneticPr fontId="1"/>
  </si>
  <si>
    <t>画像ファイルをNASに保存する</t>
  </si>
  <si>
    <t>画像ファイルをNASに保存する</t>
    <rPh sb="0" eb="2">
      <t>ガゾウ</t>
    </rPh>
    <rPh sb="11" eb="13">
      <t>ホゾン</t>
    </rPh>
    <phoneticPr fontId="1"/>
  </si>
  <si>
    <t>最終動作確認をする</t>
    <rPh sb="0" eb="2">
      <t>サイシュウ</t>
    </rPh>
    <rPh sb="2" eb="4">
      <t>ドウサ</t>
    </rPh>
    <rPh sb="4" eb="6">
      <t>カクニン</t>
    </rPh>
    <phoneticPr fontId="1"/>
  </si>
  <si>
    <t>最終動作確認をする</t>
    <phoneticPr fontId="1"/>
  </si>
  <si>
    <t>完了フラグ</t>
    <rPh sb="0" eb="2">
      <t>カンリョウ</t>
    </rPh>
    <phoneticPr fontId="1"/>
  </si>
  <si>
    <t>実績</t>
    <rPh sb="0" eb="2">
      <t>ジッセキ</t>
    </rPh>
    <phoneticPr fontId="1"/>
  </si>
  <si>
    <t>実績</t>
    <rPh sb="0" eb="2">
      <t>ジッセキ</t>
    </rPh>
    <phoneticPr fontId="1"/>
  </si>
  <si>
    <t>完了</t>
    <rPh sb="0" eb="2">
      <t>カンリョウ</t>
    </rPh>
    <phoneticPr fontId="1"/>
  </si>
  <si>
    <t>完了</t>
    <rPh sb="0" eb="2">
      <t>カンリョウ</t>
    </rPh>
    <phoneticPr fontId="1"/>
  </si>
  <si>
    <t>完了</t>
    <rPh sb="0" eb="2">
      <t>カンリョウ</t>
    </rPh>
    <phoneticPr fontId="1"/>
  </si>
  <si>
    <t>[写真表]</t>
  </si>
  <si>
    <t>[撮影カメラ表]</t>
  </si>
  <si>
    <t>カメラ名コード</t>
  </si>
  <si>
    <t>カメラ名</t>
  </si>
  <si>
    <t>主キー</t>
  </si>
  <si>
    <t>外部キー</t>
  </si>
  <si>
    <t>不必要だったら消す</t>
  </si>
  <si>
    <t>[ユーザー表]</t>
    <phoneticPr fontId="1"/>
  </si>
  <si>
    <t>列名、表名</t>
    <rPh sb="0" eb="1">
      <t>レツ</t>
    </rPh>
    <rPh sb="1" eb="2">
      <t>メイ</t>
    </rPh>
    <rPh sb="3" eb="4">
      <t>ヒョウ</t>
    </rPh>
    <rPh sb="4" eb="5">
      <t>メイ</t>
    </rPh>
    <phoneticPr fontId="1"/>
  </si>
  <si>
    <t>列、表の用途</t>
    <rPh sb="0" eb="1">
      <t>レツ</t>
    </rPh>
    <rPh sb="2" eb="3">
      <t>ヒョウ</t>
    </rPh>
    <rPh sb="4" eb="6">
      <t>ヨウト</t>
    </rPh>
    <phoneticPr fontId="1"/>
  </si>
  <si>
    <t>メモ</t>
    <phoneticPr fontId="1"/>
  </si>
  <si>
    <t>-</t>
    <phoneticPr fontId="1"/>
  </si>
  <si>
    <t>数字</t>
    <rPh sb="0" eb="2">
      <t>スウジ</t>
    </rPh>
    <phoneticPr fontId="1"/>
  </si>
  <si>
    <t>yyyy/mm/dd</t>
    <phoneticPr fontId="1"/>
  </si>
  <si>
    <t>char</t>
    <phoneticPr fontId="1"/>
  </si>
  <si>
    <t>char</t>
    <phoneticPr fontId="1"/>
  </si>
  <si>
    <t>char</t>
    <phoneticPr fontId="1"/>
  </si>
  <si>
    <t>-</t>
    <phoneticPr fontId="1"/>
  </si>
  <si>
    <t>char</t>
    <phoneticPr fontId="1"/>
  </si>
  <si>
    <t>title</t>
  </si>
  <si>
    <t>memo</t>
  </si>
  <si>
    <t>thumbnail_pass</t>
  </si>
  <si>
    <t>通し番号</t>
  </si>
  <si>
    <t>撮影日</t>
  </si>
  <si>
    <t>連番</t>
  </si>
  <si>
    <t>タイトル</t>
  </si>
  <si>
    <t>お気に入り度</t>
  </si>
  <si>
    <t>撮影カメラ</t>
  </si>
  <si>
    <t>メモ</t>
  </si>
  <si>
    <t>写真の保存パス</t>
  </si>
  <si>
    <t>サムネイル画像の保存パス</t>
  </si>
  <si>
    <t>シークレットフラグ</t>
  </si>
  <si>
    <t>ユーザー名</t>
  </si>
  <si>
    <t>パスワード</t>
  </si>
  <si>
    <t>最終ログイン時間</t>
  </si>
  <si>
    <t>データ型</t>
    <rPh sb="3" eb="4">
      <t>ガタ</t>
    </rPh>
    <phoneticPr fontId="1"/>
  </si>
  <si>
    <t>-</t>
    <phoneticPr fontId="1"/>
  </si>
  <si>
    <t>NUMBER</t>
  </si>
  <si>
    <t>DATE</t>
  </si>
  <si>
    <t>VARCHAR2(30)</t>
  </si>
  <si>
    <t>VARCHAR2</t>
  </si>
  <si>
    <t>NOTNULL制約</t>
    <phoneticPr fontId="1"/>
  </si>
  <si>
    <t>"ユーザ名"photo_table</t>
    <rPh sb="4" eb="5">
      <t>メイ</t>
    </rPh>
    <phoneticPr fontId="1"/>
  </si>
  <si>
    <t>主キー</t>
    <phoneticPr fontId="1"/>
  </si>
  <si>
    <t>"ユーザ名"_camera_table</t>
    <rPh sb="4" eb="5">
      <t>メイ</t>
    </rPh>
    <phoneticPr fontId="1"/>
  </si>
  <si>
    <t>VARCHAR2(15)</t>
    <phoneticPr fontId="1"/>
  </si>
  <si>
    <t>(</t>
  </si>
  <si>
    <t>serial_number NUMBER,</t>
  </si>
  <si>
    <t>filming_date DATE,</t>
  </si>
  <si>
    <t>film_number NUMBER,</t>
  </si>
  <si>
    <t>title VARCHAR2(30),</t>
  </si>
  <si>
    <t>favorites_level NUMBER,</t>
  </si>
  <si>
    <t>camera_code NUMBER,</t>
  </si>
  <si>
    <t>memo VARCHAR2(280),</t>
  </si>
  <si>
    <t>file_pass VARCHAR2(100),</t>
  </si>
  <si>
    <t>thumbnail_pass VARCHAR2(110),</t>
  </si>
  <si>
    <t>secret_flug NUMBER</t>
  </si>
  <si>
    <t>);</t>
  </si>
  <si>
    <t>テーブルの作成</t>
    <rPh sb="5" eb="7">
      <t>サクセイ</t>
    </rPh>
    <phoneticPr fontId="1"/>
  </si>
  <si>
    <t>filming_dateにNOTNULL制約を設定</t>
    <rPh sb="20" eb="22">
      <t>セイヤク</t>
    </rPh>
    <rPh sb="23" eb="25">
      <t>セッテイ</t>
    </rPh>
    <phoneticPr fontId="1"/>
  </si>
  <si>
    <t>film_numberにNOTNULL制約を設定</t>
    <phoneticPr fontId="1"/>
  </si>
  <si>
    <t>file_passにNOTNULL制約を設定</t>
    <phoneticPr fontId="1"/>
  </si>
  <si>
    <t>thumbnail_passにNOTNULL制約を設定</t>
    <phoneticPr fontId="1"/>
  </si>
  <si>
    <t>secret_flugにNOTNULL制約を設定</t>
    <phoneticPr fontId="1"/>
  </si>
  <si>
    <t>camera_codeに外部キー制約を設定</t>
    <rPh sb="12" eb="14">
      <t>ガイブ</t>
    </rPh>
    <rPh sb="16" eb="18">
      <t>セイヤク</t>
    </rPh>
    <rPh sb="19" eb="21">
      <t>セッテイ</t>
    </rPh>
    <phoneticPr fontId="1"/>
  </si>
  <si>
    <t>※参照するIK_camera_tableの設定が先に必要</t>
    <rPh sb="1" eb="3">
      <t>サンショウ</t>
    </rPh>
    <rPh sb="21" eb="23">
      <t>セッテイ</t>
    </rPh>
    <rPh sb="24" eb="25">
      <t>サキ</t>
    </rPh>
    <rPh sb="26" eb="28">
      <t>ヒツヨウ</t>
    </rPh>
    <phoneticPr fontId="1"/>
  </si>
  <si>
    <t>user_name VARCHAR2(15),</t>
  </si>
  <si>
    <t>password VARCHAR2(20),</t>
  </si>
  <si>
    <t>last_login_time DATE</t>
  </si>
  <si>
    <t>CREATE TABLE user_table</t>
    <phoneticPr fontId="1"/>
  </si>
  <si>
    <t>ALTER TABLE user_table ADD CONSTRAINT user_key PRIMARY KEY (user_name);</t>
    <phoneticPr fontId="1"/>
  </si>
  <si>
    <t>user_nameに主キー制約を設定</t>
    <rPh sb="10" eb="11">
      <t>シュ</t>
    </rPh>
    <rPh sb="13" eb="15">
      <t>セイヤク</t>
    </rPh>
    <rPh sb="16" eb="18">
      <t>セッテイ</t>
    </rPh>
    <phoneticPr fontId="1"/>
  </si>
  <si>
    <t>データベースで表に乗せる情報</t>
    <phoneticPr fontId="1"/>
  </si>
  <si>
    <t>SQL</t>
    <phoneticPr fontId="1"/>
  </si>
  <si>
    <t>データベースのユーザー</t>
    <phoneticPr fontId="1"/>
  </si>
  <si>
    <t>ユーザ名</t>
    <rPh sb="3" eb="4">
      <t>メイ</t>
    </rPh>
    <phoneticPr fontId="1"/>
  </si>
  <si>
    <t>データの操作を行うユーザー</t>
  </si>
  <si>
    <t>パスワード</t>
    <phoneticPr fontId="1"/>
  </si>
  <si>
    <t>用途</t>
    <rPh sb="0" eb="2">
      <t>ヨウト</t>
    </rPh>
    <phoneticPr fontId="1"/>
  </si>
  <si>
    <t>検索を行うユーザー</t>
  </si>
  <si>
    <t>データベースに接続する(CREATE SESSION)、表を作成する(CREATE TABLE)、表に行を追加する(もともと所有？)、SELECT文を実行する(もともと所有？)</t>
    <phoneticPr fontId="1"/>
  </si>
  <si>
    <t>データベースに接続する(CREATE SESSION)、photo_operationの表でselect文を実行する</t>
  </si>
  <si>
    <t>権限</t>
    <rPh sb="0" eb="2">
      <t>ケンゲン</t>
    </rPh>
    <phoneticPr fontId="1"/>
  </si>
  <si>
    <t>今後使うかもしれないSQL文</t>
    <rPh sb="0" eb="2">
      <t>コンゴ</t>
    </rPh>
    <rPh sb="2" eb="3">
      <t>ツカ</t>
    </rPh>
    <rPh sb="13" eb="14">
      <t>ブン</t>
    </rPh>
    <phoneticPr fontId="1"/>
  </si>
  <si>
    <t>テーブルの削除</t>
    <rPh sb="5" eb="7">
      <t>サクジョ</t>
    </rPh>
    <phoneticPr fontId="1"/>
  </si>
  <si>
    <t>DROP TABLE [テーブル名] CASCADE CONSTRAINTS;</t>
    <rPh sb="16" eb="17">
      <t>メイ</t>
    </rPh>
    <phoneticPr fontId="1"/>
  </si>
  <si>
    <t>SELECT TABLE_NAME FROM USER_TABLES;</t>
  </si>
  <si>
    <t>ユーザが所有するテーブル名を確認</t>
    <rPh sb="4" eb="6">
      <t>ショユウ</t>
    </rPh>
    <rPh sb="12" eb="13">
      <t>メイ</t>
    </rPh>
    <rPh sb="14" eb="16">
      <t>カクニン</t>
    </rPh>
    <phoneticPr fontId="1"/>
  </si>
  <si>
    <t>DESC [テーブル名]</t>
    <rPh sb="10" eb="11">
      <t>メイ</t>
    </rPh>
    <phoneticPr fontId="1"/>
  </si>
  <si>
    <t>テーブルの列名とデータ型を確認</t>
    <rPh sb="5" eb="6">
      <t>レツ</t>
    </rPh>
    <rPh sb="6" eb="7">
      <t>メイ</t>
    </rPh>
    <rPh sb="11" eb="12">
      <t>ガタ</t>
    </rPh>
    <rPh sb="13" eb="15">
      <t>カクニン</t>
    </rPh>
    <phoneticPr fontId="1"/>
  </si>
  <si>
    <t>現在ログインしているユーザー名を確認</t>
    <rPh sb="0" eb="2">
      <t>ゲンザイ</t>
    </rPh>
    <rPh sb="14" eb="15">
      <t>メイ</t>
    </rPh>
    <rPh sb="16" eb="18">
      <t>カクニン</t>
    </rPh>
    <phoneticPr fontId="1"/>
  </si>
  <si>
    <t>/home/oracle/photo_data/"ユーザ名"/yyyymmdd/file</t>
    <phoneticPr fontId="1"/>
  </si>
  <si>
    <t>VARCHAR2(200)</t>
    <phoneticPr fontId="1"/>
  </si>
  <si>
    <t>VARCHAR2(220)</t>
    <phoneticPr fontId="1"/>
  </si>
  <si>
    <t>file_pass</t>
    <phoneticPr fontId="1"/>
  </si>
  <si>
    <t>完了</t>
    <rPh sb="0" eb="2">
      <t>カンリョウ</t>
    </rPh>
    <phoneticPr fontId="1"/>
  </si>
  <si>
    <t>/home/oracle/photo_data/"ユーザ名"/yyyymmdd/thumbnail/file</t>
    <phoneticPr fontId="1"/>
  </si>
  <si>
    <t>IK</t>
    <phoneticPr fontId="1"/>
  </si>
  <si>
    <t>test</t>
    <phoneticPr fontId="1"/>
  </si>
  <si>
    <t>テーブルに行を追加</t>
    <rPh sb="5" eb="6">
      <t>ギョウ</t>
    </rPh>
    <rPh sb="7" eb="9">
      <t>ツイカ</t>
    </rPh>
    <phoneticPr fontId="1"/>
  </si>
  <si>
    <t xml:space="preserve"> (列名1,列名2,……)</t>
  </si>
  <si>
    <t xml:space="preserve"> (値1,値2,……);</t>
  </si>
  <si>
    <t>VALUES</t>
    <phoneticPr fontId="1"/>
  </si>
  <si>
    <t>INSERT INTO [テーブル名]</t>
    <phoneticPr fontId="1"/>
  </si>
  <si>
    <t>column 列名 format a文字数</t>
    <rPh sb="7" eb="8">
      <t>レツ</t>
    </rPh>
    <rPh sb="8" eb="9">
      <t>メイ</t>
    </rPh>
    <rPh sb="18" eb="21">
      <t>モジスウ</t>
    </rPh>
    <phoneticPr fontId="1"/>
  </si>
  <si>
    <t>※数字型の場合は桁数を"9"の数で指定</t>
    <rPh sb="1" eb="3">
      <t>スウジ</t>
    </rPh>
    <rPh sb="3" eb="4">
      <t>ガタ</t>
    </rPh>
    <rPh sb="5" eb="7">
      <t>バアイ</t>
    </rPh>
    <rPh sb="8" eb="10">
      <t>ケタスウ</t>
    </rPh>
    <rPh sb="15" eb="16">
      <t>カズ</t>
    </rPh>
    <rPh sb="17" eb="19">
      <t>シテイ</t>
    </rPh>
    <phoneticPr fontId="1"/>
  </si>
  <si>
    <t>select文で表示する列ごとの文字数を設定</t>
    <rPh sb="6" eb="7">
      <t>ブン</t>
    </rPh>
    <rPh sb="8" eb="10">
      <t>ヒョウジ</t>
    </rPh>
    <rPh sb="12" eb="13">
      <t>レツ</t>
    </rPh>
    <rPh sb="16" eb="19">
      <t>モジスウ</t>
    </rPh>
    <rPh sb="20" eb="22">
      <t>セッテイ</t>
    </rPh>
    <phoneticPr fontId="1"/>
  </si>
  <si>
    <t>2014/07/01</t>
  </si>
  <si>
    <t>2016/06/13</t>
  </si>
  <si>
    <t>2018/04/15</t>
  </si>
  <si>
    <t>完了</t>
    <rPh sb="0" eb="2">
      <t>カンリョウ</t>
    </rPh>
    <phoneticPr fontId="1"/>
  </si>
  <si>
    <t>達成率</t>
    <rPh sb="0" eb="3">
      <t>タッセイリツ</t>
    </rPh>
    <phoneticPr fontId="1"/>
  </si>
  <si>
    <t>完了</t>
    <rPh sb="0" eb="2">
      <t>カンリョウ</t>
    </rPh>
    <phoneticPr fontId="1"/>
  </si>
  <si>
    <t>select username from user_users;</t>
    <phoneticPr fontId="1"/>
  </si>
  <si>
    <t>user_name VARCHAR2(30),</t>
    <phoneticPr fontId="1"/>
  </si>
  <si>
    <t xml:space="preserve">CREATE TABLE photo_table </t>
    <phoneticPr fontId="1"/>
  </si>
  <si>
    <t>ALTER TABLE photo_table ADD CONSTRAINT serial_key PRIMARY KEY (serial_number);</t>
    <phoneticPr fontId="1"/>
  </si>
  <si>
    <t>ALTER TABLE photo_table MODIFY filming_date NOT NULL;</t>
    <phoneticPr fontId="1"/>
  </si>
  <si>
    <t>ALTER TABLE photo_table MODIFY film_number NOT NULL;</t>
    <phoneticPr fontId="1"/>
  </si>
  <si>
    <t>ALTER TABLE photo_table MODIFY file_pass NOT NULL;</t>
    <phoneticPr fontId="1"/>
  </si>
  <si>
    <t>ALTER TABLE photo_table MODIFY thumbnail_pass NOT NULL;</t>
    <phoneticPr fontId="1"/>
  </si>
  <si>
    <t>ALTER TABLE photo_table MODIFY secret_flug NOT NULL;</t>
    <phoneticPr fontId="1"/>
  </si>
  <si>
    <t>ALTER TABLE photo_table ADD CONSTRAINT code_to_table FOREIGN KEY (camera_code) REFERENCES camera_table(camera_code);</t>
    <phoneticPr fontId="1"/>
  </si>
  <si>
    <t>ALTER TABLE photo_table ADD CONSTRAINT user_and_date_and_number unique(user_name,filming_date,film_number);</t>
    <phoneticPr fontId="1"/>
  </si>
  <si>
    <t>ユーザ名,撮影日,連番は複合ユニーク制約、NOTNULL制約</t>
    <rPh sb="3" eb="4">
      <t>メイ</t>
    </rPh>
    <rPh sb="28" eb="30">
      <t>セイヤク</t>
    </rPh>
    <phoneticPr fontId="1"/>
  </si>
  <si>
    <t>ユーザ名</t>
    <rPh sb="3" eb="4">
      <t>メイ</t>
    </rPh>
    <phoneticPr fontId="1"/>
  </si>
  <si>
    <t>user_name</t>
    <phoneticPr fontId="1"/>
  </si>
  <si>
    <t>user_nameにNOTNULL制約を設定</t>
    <rPh sb="17" eb="19">
      <t>セイヤク</t>
    </rPh>
    <rPh sb="20" eb="22">
      <t>セッテイ</t>
    </rPh>
    <phoneticPr fontId="1"/>
  </si>
  <si>
    <t>ALTER TABLE photo_table MODIFY user_name NOT NULL;</t>
    <phoneticPr fontId="1"/>
  </si>
  <si>
    <t>photo_table</t>
    <phoneticPr fontId="1"/>
  </si>
  <si>
    <t>camera_table</t>
    <phoneticPr fontId="1"/>
  </si>
  <si>
    <t>ユーザ名,カメラ名コード,カメラ名は複合ユニーク制約、NOTNULL制約</t>
    <rPh sb="3" eb="4">
      <t>メイ</t>
    </rPh>
    <rPh sb="8" eb="9">
      <t>メイ</t>
    </rPh>
    <rPh sb="16" eb="17">
      <t>メイ</t>
    </rPh>
    <rPh sb="34" eb="36">
      <t>セイヤク</t>
    </rPh>
    <phoneticPr fontId="1"/>
  </si>
  <si>
    <t>char</t>
  </si>
  <si>
    <t>serial_number</t>
    <phoneticPr fontId="1"/>
  </si>
  <si>
    <t>camera_code NUMBER,</t>
    <phoneticPr fontId="1"/>
  </si>
  <si>
    <t>serial_number NUMBER,</t>
    <phoneticPr fontId="1"/>
  </si>
  <si>
    <t>user_name</t>
    <phoneticPr fontId="1"/>
  </si>
  <si>
    <t>VARCHAR2(30)</t>
    <phoneticPr fontId="1"/>
  </si>
  <si>
    <t>通し番号</t>
    <phoneticPr fontId="1"/>
  </si>
  <si>
    <t>serial_number列に主キー制約を設定</t>
    <phoneticPr fontId="1"/>
  </si>
  <si>
    <t>camera_name VARCHAR2(40)</t>
    <phoneticPr fontId="1"/>
  </si>
  <si>
    <t>user_nameとcamera_codeとcamera_nameを複合一意制約に設定</t>
    <phoneticPr fontId="1"/>
  </si>
  <si>
    <t>user_nameにNOTNULL制約を設定</t>
    <phoneticPr fontId="1"/>
  </si>
  <si>
    <t>camera_codeにNOTNULL制約を設定</t>
    <rPh sb="19" eb="21">
      <t>セイヤク</t>
    </rPh>
    <rPh sb="22" eb="24">
      <t>セッテイ</t>
    </rPh>
    <phoneticPr fontId="1"/>
  </si>
  <si>
    <t>camera_nameにNOTNULL制約を設定</t>
    <rPh sb="19" eb="21">
      <t>セイヤク</t>
    </rPh>
    <rPh sb="22" eb="24">
      <t>セッテイ</t>
    </rPh>
    <phoneticPr fontId="1"/>
  </si>
  <si>
    <t>serial_number列に主キー制約を設定</t>
    <rPh sb="13" eb="14">
      <t>レツ</t>
    </rPh>
    <rPh sb="15" eb="16">
      <t>シュ</t>
    </rPh>
    <rPh sb="18" eb="20">
      <t>セイヤク</t>
    </rPh>
    <rPh sb="21" eb="23">
      <t>セッテイ</t>
    </rPh>
    <phoneticPr fontId="1"/>
  </si>
  <si>
    <t>ALTER TABLE camera_table ADD CONSTRAINT user_and_code_and_camera unique(user_name,camera_code,camera_name);</t>
    <phoneticPr fontId="1"/>
  </si>
  <si>
    <t>ALTER TABLE camera_table MODIFY user_name NOT NULL;</t>
    <phoneticPr fontId="1"/>
  </si>
  <si>
    <t>ALTER TABLE camera_table MODIFY camera_code NOT NULL;</t>
    <phoneticPr fontId="1"/>
  </si>
  <si>
    <t>ALTER TABLE camera_table MODIFY camera_name NOT NULL;</t>
    <phoneticPr fontId="1"/>
  </si>
  <si>
    <t>CREATE TABLE camera_table</t>
    <phoneticPr fontId="1"/>
  </si>
  <si>
    <t>user_name VARCHAR2(30),</t>
    <phoneticPr fontId="1"/>
  </si>
  <si>
    <t>ALTER TABLE camera_table ADD CONSTRAINT camera_serial_key PRIMARY KEY (serial_number);</t>
    <phoneticPr fontId="1"/>
  </si>
  <si>
    <t>IK</t>
  </si>
  <si>
    <t>IK</t>
    <phoneticPr fontId="1"/>
  </si>
  <si>
    <t>user_nameとfilming_dateとfilm_numberを複合一意制約に設定</t>
    <rPh sb="35" eb="37">
      <t>フクゴウ</t>
    </rPh>
    <rPh sb="37" eb="39">
      <t>イチイ</t>
    </rPh>
    <rPh sb="39" eb="41">
      <t>セイヤク</t>
    </rPh>
    <rPh sb="42" eb="44">
      <t>セッテイ</t>
    </rPh>
    <phoneticPr fontId="1"/>
  </si>
  <si>
    <t>insert into camera_table(serial_number,user_name,camera_code,camera_name)values(1,'IK',1,'Lomography Color 400');</t>
  </si>
  <si>
    <t>insert into camera_table(serial_number,user_name,camera_code,camera_name)values(2,'IK',2,'Cinestill 50D');</t>
  </si>
  <si>
    <t>スライドのスピード</t>
    <phoneticPr fontId="1"/>
  </si>
  <si>
    <t>secretの表示可否</t>
    <rPh sb="7" eb="9">
      <t>ヒョウジ</t>
    </rPh>
    <rPh sb="9" eb="11">
      <t>カヒ</t>
    </rPh>
    <phoneticPr fontId="1"/>
  </si>
  <si>
    <t>normal</t>
    <phoneticPr fontId="1"/>
  </si>
  <si>
    <t>yyyy/mm/dd</t>
  </si>
  <si>
    <t>VARCHAR2(10)</t>
  </si>
  <si>
    <t>VARCHAR2(10)</t>
    <phoneticPr fontId="1"/>
  </si>
  <si>
    <t>thumbnail_pass</t>
    <phoneticPr fontId="1"/>
  </si>
  <si>
    <t>シークレットフラグ</t>
    <phoneticPr fontId="1"/>
  </si>
  <si>
    <t>secret_flug</t>
    <phoneticPr fontId="1"/>
  </si>
  <si>
    <t>https://stand-4u.com/javascript/slick.html</t>
    <phoneticPr fontId="1"/>
  </si>
  <si>
    <t>「slick」のオプション</t>
    <phoneticPr fontId="1"/>
  </si>
  <si>
    <t>https://qiita.com/jshimazu/items/bf571694bbad8db2cb3e</t>
    <phoneticPr fontId="1"/>
  </si>
  <si>
    <t>slickで作ったカルーセルの自動再生がユーザー操作によって止まるのを防ぐ</t>
    <phoneticPr fontId="1"/>
  </si>
  <si>
    <t>https://qiita.com/AkihikoIkeda/items/9dda2dda70b77c8eeca4</t>
    <phoneticPr fontId="1"/>
  </si>
  <si>
    <t>jQueryで読み込んでから処理を開始</t>
    <phoneticPr fontId="1"/>
  </si>
  <si>
    <t>http://lifelog.hpmeister.com/act/arrow+size.html</t>
    <phoneticPr fontId="1"/>
  </si>
  <si>
    <t>カルーセルスライダーslickの前後ボタンの大きさ</t>
    <rPh sb="22" eb="23">
      <t>オオ</t>
    </rPh>
    <phoneticPr fontId="1"/>
  </si>
  <si>
    <t>https://travelogue.jp/blog/archives/4757.html</t>
    <phoneticPr fontId="1"/>
  </si>
  <si>
    <t>カルーセルスライダーslickの前後ボタンの位置</t>
    <rPh sb="22" eb="24">
      <t>イチ</t>
    </rPh>
    <phoneticPr fontId="1"/>
  </si>
  <si>
    <t>https://blog.mudatobunka.org/entry/2016/08/26/230722</t>
    <phoneticPr fontId="1"/>
  </si>
  <si>
    <t>jQueryの基本</t>
    <rPh sb="7" eb="9">
      <t>キホン</t>
    </rPh>
    <phoneticPr fontId="1"/>
  </si>
  <si>
    <t>https://blog.mismithportfolio.com/web/20151027cssimageplace</t>
    <phoneticPr fontId="1"/>
  </si>
  <si>
    <t>画像の上下中央配置</t>
    <phoneticPr fontId="1"/>
  </si>
  <si>
    <t>http://iphone.f-tools.net/html5/Width-Smart-Phone.html</t>
    <phoneticPr fontId="1"/>
  </si>
  <si>
    <t>iPhone用にサイトの幅と画面の幅を合わせるには</t>
    <phoneticPr fontId="1"/>
  </si>
  <si>
    <t>調べたことリスト</t>
    <rPh sb="0" eb="1">
      <t>シラ</t>
    </rPh>
    <phoneticPr fontId="1"/>
  </si>
  <si>
    <t>完了</t>
    <rPh sb="0" eb="2">
      <t>カンリョウ</t>
    </rPh>
    <phoneticPr fontId="1"/>
  </si>
  <si>
    <t>完了</t>
    <rPh sb="0" eb="2">
      <t>カンリョウ</t>
    </rPh>
    <phoneticPr fontId="1"/>
  </si>
  <si>
    <t>定義リスト（dl）を横並びにする</t>
    <phoneticPr fontId="1"/>
  </si>
  <si>
    <t>★javascript</t>
    <phoneticPr fontId="1"/>
  </si>
  <si>
    <t>★HTML</t>
    <phoneticPr fontId="1"/>
  </si>
  <si>
    <t>★SQL</t>
    <phoneticPr fontId="1"/>
  </si>
  <si>
    <t>http://illbenet.jp/view/30</t>
    <phoneticPr fontId="1"/>
  </si>
  <si>
    <t>displayの使い方</t>
    <phoneticPr fontId="1"/>
  </si>
  <si>
    <t>float段組の基本</t>
    <phoneticPr fontId="1"/>
  </si>
  <si>
    <t>http://www.css-designsample.com/beginner/hp/float-base.html</t>
    <phoneticPr fontId="1"/>
  </si>
  <si>
    <t>https://qiita.com/gooddoog/items/f37f3d3f0081b5b39e05</t>
    <phoneticPr fontId="1"/>
  </si>
  <si>
    <t>SQLのORDER BY で任意のソート順を設定する</t>
    <phoneticPr fontId="1"/>
  </si>
  <si>
    <t>★php</t>
    <phoneticPr fontId="1"/>
  </si>
  <si>
    <t>PHPで配列に要素を追加する方法</t>
    <phoneticPr fontId="1"/>
  </si>
  <si>
    <t>https://uxmilk.jp/8880</t>
    <phoneticPr fontId="1"/>
  </si>
  <si>
    <t>PHPのcount関数を使って配列の要素の数をカウントする方法</t>
    <phoneticPr fontId="1"/>
  </si>
  <si>
    <t>https://techacademy.jp/magazine/11620</t>
    <phoneticPr fontId="1"/>
  </si>
  <si>
    <t>onclickでクリックイベントを指定する方法</t>
    <phoneticPr fontId="1"/>
  </si>
  <si>
    <t>https://www.sejuku.net/blog/26119</t>
    <phoneticPr fontId="1"/>
  </si>
  <si>
    <t>http://html5.cyberlab.info/elements/forms/input-alt.html</t>
    <phoneticPr fontId="1"/>
  </si>
  <si>
    <t>input要素のalt属性</t>
    <phoneticPr fontId="1"/>
  </si>
  <si>
    <t>画像を使ったフォームの送信ボタンを設置する</t>
    <phoneticPr fontId="1"/>
  </si>
  <si>
    <t>https://dekiru.net/article/12958/</t>
    <phoneticPr fontId="1"/>
  </si>
  <si>
    <t>input要素のvalue属性</t>
    <phoneticPr fontId="1"/>
  </si>
  <si>
    <t>http://html5.cyberlab.info/elements/forms/input-value.html</t>
    <phoneticPr fontId="1"/>
  </si>
  <si>
    <t>関数の命名規則</t>
    <phoneticPr fontId="1"/>
  </si>
  <si>
    <t>http://alphasis.info/2013/02/javascript-user-defined-functions-name/</t>
    <phoneticPr fontId="1"/>
  </si>
  <si>
    <t>PHPからのJavaScriptの制御</t>
    <phoneticPr fontId="1"/>
  </si>
  <si>
    <t>https://so-zou.jp/web-app/tech/programming/php/sample/javascript-cooperation.htm</t>
    <phoneticPr fontId="1"/>
  </si>
  <si>
    <t>ヒアドキュメントについて</t>
    <phoneticPr fontId="1"/>
  </si>
  <si>
    <t>http://www.php-labo.net/tutorial/php/heredocument.html</t>
    <phoneticPr fontId="1"/>
  </si>
  <si>
    <t>PHP 文字列の取り扱い</t>
    <phoneticPr fontId="1"/>
  </si>
  <si>
    <t>http://wepicks.net/phpref-moziretsuatsukai/</t>
    <phoneticPr fontId="1"/>
  </si>
  <si>
    <t>PHPで配列を初期化する2つの方法</t>
    <phoneticPr fontId="1"/>
  </si>
  <si>
    <t>https://www.flatflag.nir87.com/arr-375</t>
    <phoneticPr fontId="1"/>
  </si>
  <si>
    <t>変数メモ</t>
    <rPh sb="0" eb="2">
      <t>ヘンスウ</t>
    </rPh>
    <phoneticPr fontId="1"/>
  </si>
  <si>
    <t>★PHP</t>
    <phoneticPr fontId="1"/>
  </si>
  <si>
    <t>$conn</t>
    <phoneticPr fontId="1"/>
  </si>
  <si>
    <t>DBへの接続情報</t>
    <rPh sb="4" eb="6">
      <t>セツゾク</t>
    </rPh>
    <rPh sb="6" eb="8">
      <t>ジョウホウ</t>
    </rPh>
    <phoneticPr fontId="1"/>
  </si>
  <si>
    <t>$user_name</t>
  </si>
  <si>
    <t>$user_sql</t>
    <phoneticPr fontId="1"/>
  </si>
  <si>
    <t>ユーザ情報(スライドのスピードとか)を取得するSQL文</t>
    <rPh sb="3" eb="5">
      <t>ジョウホウ</t>
    </rPh>
    <rPh sb="19" eb="21">
      <t>シュトク</t>
    </rPh>
    <rPh sb="26" eb="27">
      <t>ブン</t>
    </rPh>
    <phoneticPr fontId="1"/>
  </si>
  <si>
    <t>$stid</t>
    <phoneticPr fontId="1"/>
  </si>
  <si>
    <t>SQL文の結果</t>
    <rPh sb="3" eb="4">
      <t>ブン</t>
    </rPh>
    <rPh sb="5" eb="7">
      <t>ケッカ</t>
    </rPh>
    <phoneticPr fontId="1"/>
  </si>
  <si>
    <t>$row</t>
    <phoneticPr fontId="1"/>
  </si>
  <si>
    <t>SQLの実行結果の配列</t>
    <phoneticPr fontId="1"/>
  </si>
  <si>
    <t>$slide_speed</t>
    <phoneticPr fontId="1"/>
  </si>
  <si>
    <t>SQLで取得したスライドのスピード情報</t>
    <rPh sb="4" eb="6">
      <t>シュトク</t>
    </rPh>
    <rPh sb="17" eb="19">
      <t>ジョウホウ</t>
    </rPh>
    <phoneticPr fontId="1"/>
  </si>
  <si>
    <t>$secret_status</t>
    <phoneticPr fontId="1"/>
  </si>
  <si>
    <t>SQLで取得した非表示フラグの情報</t>
    <rPh sb="4" eb="6">
      <t>シュトク</t>
    </rPh>
    <rPh sb="8" eb="11">
      <t>ヒヒョウジ</t>
    </rPh>
    <rPh sb="15" eb="17">
      <t>ジョウホウ</t>
    </rPh>
    <phoneticPr fontId="1"/>
  </si>
  <si>
    <t>$favorite_sql</t>
    <phoneticPr fontId="1"/>
  </si>
  <si>
    <t>TOPページでお気に入りのスライドに使用するSQL文</t>
    <rPh sb="8" eb="9">
      <t>キ</t>
    </rPh>
    <rPh sb="10" eb="11">
      <t>イ</t>
    </rPh>
    <rPh sb="18" eb="20">
      <t>シヨウ</t>
    </rPh>
    <rPh sb="25" eb="26">
      <t>ブン</t>
    </rPh>
    <phoneticPr fontId="1"/>
  </si>
  <si>
    <t>$recently_sql</t>
    <phoneticPr fontId="1"/>
  </si>
  <si>
    <t>TOPページで最近の写真のスライドに使用するSQL文</t>
    <rPh sb="7" eb="9">
      <t>サイキン</t>
    </rPh>
    <rPh sb="10" eb="12">
      <t>シャシン</t>
    </rPh>
    <rPh sb="18" eb="20">
      <t>シヨウ</t>
    </rPh>
    <rPh sb="25" eb="26">
      <t>ブン</t>
    </rPh>
    <phoneticPr fontId="1"/>
  </si>
  <si>
    <t>$random_sql</t>
    <phoneticPr fontId="1"/>
  </si>
  <si>
    <t>TOPページでランダムのスライドに使用するSQL文</t>
    <rPh sb="17" eb="19">
      <t>シヨウ</t>
    </rPh>
    <rPh sb="24" eb="25">
      <t>ブン</t>
    </rPh>
    <phoneticPr fontId="1"/>
  </si>
  <si>
    <t>Topページ(head)</t>
    <phoneticPr fontId="1"/>
  </si>
  <si>
    <t>Topページ(body)</t>
    <phoneticPr fontId="1"/>
  </si>
  <si>
    <t>$in_random</t>
    <phoneticPr fontId="1"/>
  </si>
  <si>
    <t>SQLで取得したシリアルナンバー(配列ではなくカンマ区切りで一行で格納)</t>
    <rPh sb="4" eb="6">
      <t>シュトク</t>
    </rPh>
    <rPh sb="17" eb="19">
      <t>ハイレツ</t>
    </rPh>
    <rPh sb="26" eb="28">
      <t>クギ</t>
    </rPh>
    <rPh sb="30" eb="31">
      <t>イチ</t>
    </rPh>
    <rPh sb="31" eb="32">
      <t>ギョウ</t>
    </rPh>
    <rPh sb="33" eb="35">
      <t>カクノウ</t>
    </rPh>
    <phoneticPr fontId="1"/>
  </si>
  <si>
    <t>$random_got_row</t>
  </si>
  <si>
    <t>SQLで取得したシリアルナンバー(取得した順の配列)</t>
    <rPh sb="17" eb="19">
      <t>シュトク</t>
    </rPh>
    <rPh sb="21" eb="22">
      <t>ジュン</t>
    </rPh>
    <rPh sb="23" eb="25">
      <t>ハイレツ</t>
    </rPh>
    <phoneticPr fontId="1"/>
  </si>
  <si>
    <t>$now_random_row</t>
    <phoneticPr fontId="1"/>
  </si>
  <si>
    <t>SQLの何行目の処理なのか</t>
    <rPh sb="4" eb="7">
      <t>ナンギョウメ</t>
    </rPh>
    <rPh sb="8" eb="10">
      <t>ショリ</t>
    </rPh>
    <phoneticPr fontId="1"/>
  </si>
  <si>
    <t>SQLで取得した画像ファイルのパス(取得した順の配列)</t>
    <rPh sb="8" eb="10">
      <t>ガゾウ</t>
    </rPh>
    <phoneticPr fontId="1"/>
  </si>
  <si>
    <t>$random_photo_pass</t>
    <phoneticPr fontId="1"/>
  </si>
  <si>
    <t>画像表示ページ(head)</t>
    <rPh sb="0" eb="2">
      <t>ガゾウ</t>
    </rPh>
    <rPh sb="2" eb="4">
      <t>ヒョウジ</t>
    </rPh>
    <phoneticPr fontId="1"/>
  </si>
  <si>
    <t>$show_row</t>
    <phoneticPr fontId="1"/>
  </si>
  <si>
    <t>SQLの結果の何行目を表示させるか指定</t>
    <rPh sb="4" eb="6">
      <t>ケッカ</t>
    </rPh>
    <rPh sb="7" eb="10">
      <t>ナンギョウメ</t>
    </rPh>
    <rPh sb="11" eb="13">
      <t>ヒョウジ</t>
    </rPh>
    <rPh sb="17" eb="19">
      <t>シテイ</t>
    </rPh>
    <phoneticPr fontId="1"/>
  </si>
  <si>
    <t>$random_got_row</t>
    <phoneticPr fontId="1"/>
  </si>
  <si>
    <t>$total_rows</t>
    <phoneticPr fontId="1"/>
  </si>
  <si>
    <t>行の総数</t>
    <phoneticPr fontId="1"/>
  </si>
  <si>
    <t>film_number</t>
    <phoneticPr fontId="1"/>
  </si>
  <si>
    <t>memo</t>
    <phoneticPr fontId="1"/>
  </si>
  <si>
    <t>PHPで変数の値がNULLや空白かどうか調べる方法</t>
    <rPh sb="14" eb="16">
      <t>クウハク</t>
    </rPh>
    <rPh sb="20" eb="21">
      <t>シラ</t>
    </rPh>
    <rPh sb="23" eb="25">
      <t>ホウホウ</t>
    </rPh>
    <phoneticPr fontId="1"/>
  </si>
  <si>
    <t>https://www.sejuku.net/blog/22964#NULL</t>
    <phoneticPr fontId="1"/>
  </si>
  <si>
    <t>img画像の縦横比を保ったままボックス内に収める方法</t>
    <phoneticPr fontId="1"/>
  </si>
  <si>
    <t>https://1design.jp/web-development/css/1844</t>
    <phoneticPr fontId="1"/>
  </si>
  <si>
    <t>★Oracle</t>
    <phoneticPr fontId="1"/>
  </si>
  <si>
    <t>日付の表示フォーマットの設定</t>
    <rPh sb="0" eb="2">
      <t>ヒヅケ</t>
    </rPh>
    <rPh sb="3" eb="5">
      <t>ヒョウジ</t>
    </rPh>
    <rPh sb="12" eb="14">
      <t>セッテイ</t>
    </rPh>
    <phoneticPr fontId="1"/>
  </si>
  <si>
    <t>http://edo.blog.jp/archives/1544244.html</t>
    <phoneticPr fontId="1"/>
  </si>
  <si>
    <t>https://www.sejuku.net/blog/22784</t>
    <phoneticPr fontId="1"/>
  </si>
  <si>
    <t>PHPのif文</t>
    <rPh sb="6" eb="7">
      <t>ブン</t>
    </rPh>
    <phoneticPr fontId="1"/>
  </si>
  <si>
    <t>http://sozai.akuseru-design.com/css-sample-0/</t>
    <phoneticPr fontId="1"/>
  </si>
  <si>
    <t>CSSで“最低”の高さを指定する方法</t>
    <phoneticPr fontId="1"/>
  </si>
  <si>
    <t>完了</t>
    <rPh sb="0" eb="2">
      <t>カンリョウ</t>
    </rPh>
    <phoneticPr fontId="1"/>
  </si>
  <si>
    <t>完了フラグ</t>
    <rPh sb="0" eb="2">
      <t>カンリョウ</t>
    </rPh>
    <phoneticPr fontId="1"/>
  </si>
  <si>
    <t>https://saruwakakun.com/html-css/basic/display#section1</t>
    <phoneticPr fontId="1"/>
  </si>
  <si>
    <t>hrタグを使ってdivへの回り込みをなくす方法</t>
    <phoneticPr fontId="1"/>
  </si>
  <si>
    <t>http://t-wata.com/?p=105</t>
    <phoneticPr fontId="1"/>
  </si>
  <si>
    <t>https://www.acky.info/tips/css/00025.html</t>
    <phoneticPr fontId="1"/>
  </si>
  <si>
    <t>https://haniwaman.com/inline-block-space/</t>
    <phoneticPr fontId="1"/>
  </si>
  <si>
    <t>CSSだけでメニューが開いたり閉じたりするアコーディオンを作る</t>
    <phoneticPr fontId="1"/>
  </si>
  <si>
    <t>https://9-bb.com/css%E3%81%A0%E3%81%91%E3%81%A7%E3%83%A1%E3%83%8B%E3%83%A5%E3%83%BC%E3%81%8C%E9%96%8B%E3%81%84%E3%81%9F%E3%82%8A%E9%96%89%E3%81%98%E3%81%9F%E3%82%8A%E3%81%99%E3%82%8B%E3%82%A2%E3%82%B3%E3%83%BC/</t>
    <phoneticPr fontId="1"/>
  </si>
  <si>
    <t>camera_code</t>
    <phoneticPr fontId="1"/>
  </si>
  <si>
    <t>title</t>
    <phoneticPr fontId="1"/>
  </si>
  <si>
    <t>favorites_level</t>
    <phoneticPr fontId="1"/>
  </si>
  <si>
    <t>http://php.net/manual/ja/language.operators.arithmetic.php</t>
    <phoneticPr fontId="1"/>
  </si>
  <si>
    <t>数字を割った後の余りを出す方法</t>
    <rPh sb="0" eb="2">
      <t>スウジ</t>
    </rPh>
    <rPh sb="3" eb="4">
      <t>ワ</t>
    </rPh>
    <rPh sb="6" eb="7">
      <t>アト</t>
    </rPh>
    <rPh sb="8" eb="9">
      <t>アマ</t>
    </rPh>
    <rPh sb="11" eb="12">
      <t>ダ</t>
    </rPh>
    <rPh sb="13" eb="15">
      <t>ホウホウ</t>
    </rPh>
    <phoneticPr fontId="1"/>
  </si>
  <si>
    <t>文字列の中から指定した位置から指定した分だけ文字を取り出す方法</t>
    <rPh sb="29" eb="31">
      <t>ホウホウ</t>
    </rPh>
    <phoneticPr fontId="1"/>
  </si>
  <si>
    <t>https://www.phpbook.jp/func/string/index2.html</t>
    <phoneticPr fontId="1"/>
  </si>
  <si>
    <t>https://www.tagindex.com/html_tag/elements/select.html</t>
    <phoneticPr fontId="1"/>
  </si>
  <si>
    <t>プルダウンメニュー(セレクトボックス)</t>
    <phoneticPr fontId="1"/>
  </si>
  <si>
    <t>チェックボックス名を押してオン・オフさせる</t>
    <phoneticPr fontId="1"/>
  </si>
  <si>
    <t>https://blog.raizzenet.com/change-size-checkbox/</t>
    <phoneticPr fontId="1"/>
  </si>
  <si>
    <t>iPhoneの Safari で checkbox をデカく表示する。</t>
    <phoneticPr fontId="1"/>
  </si>
  <si>
    <t>https://freefielder.jp/blog/2012/02/iphone-safari-checkbox.html</t>
    <phoneticPr fontId="1"/>
  </si>
  <si>
    <t>serial_number</t>
    <phoneticPr fontId="1"/>
  </si>
  <si>
    <t>user_name</t>
    <phoneticPr fontId="1"/>
  </si>
  <si>
    <t>favorites_level</t>
    <phoneticPr fontId="1"/>
  </si>
  <si>
    <t>0,1(1の場合は隠す)</t>
    <rPh sb="6" eb="8">
      <t>バアイ</t>
    </rPh>
    <rPh sb="9" eb="10">
      <t>カク</t>
    </rPh>
    <phoneticPr fontId="1"/>
  </si>
  <si>
    <t>phpのデータの受け渡し方法($_POST, $_GET, $_SESSION, $_COOKIE)</t>
    <phoneticPr fontId="1"/>
  </si>
  <si>
    <t>http://d.hatena.ne.jp/osamuchan05/20131102</t>
    <phoneticPr fontId="1"/>
  </si>
  <si>
    <t>昇順・降順でソートするASC・DESC</t>
    <phoneticPr fontId="1"/>
  </si>
  <si>
    <t>https://sql-oracle.com/sqlserver/?p=431</t>
    <phoneticPr fontId="1"/>
  </si>
  <si>
    <t>phpにおける、"（ダブルクォート）と、'（シングルクォート）の使い分け</t>
    <phoneticPr fontId="1"/>
  </si>
  <si>
    <t>http://d.hatena.ne.jp/kasahi/20070815/1187201809</t>
    <phoneticPr fontId="1"/>
  </si>
  <si>
    <t>http://sql.main.jp/cont/sql/se/like.html</t>
    <phoneticPr fontId="1"/>
  </si>
  <si>
    <t>パターン検索（LIKE）</t>
    <phoneticPr fontId="1"/>
  </si>
  <si>
    <t xml:space="preserve">フォームのチェックボックスの値を取得する </t>
    <phoneticPr fontId="1"/>
  </si>
  <si>
    <t>http://iklabo.net/2016/01/%E6%9C%AA%E5%88%86%E9%A1%9E/post-198/</t>
    <phoneticPr fontId="1"/>
  </si>
  <si>
    <t>[PHP] 文字列の前後から指定した数の文字を削除する</t>
    <phoneticPr fontId="1"/>
  </si>
  <si>
    <t>http://kihon-no-ki.com/remove-number-of-characters-from-string</t>
    <phoneticPr fontId="1"/>
  </si>
  <si>
    <t>[SQL] WHERE句で範囲指定をする（BETWEEN）</t>
    <phoneticPr fontId="1"/>
  </si>
  <si>
    <t>https://oracle.programmer-reference.com/sql-between/</t>
    <phoneticPr fontId="1"/>
  </si>
  <si>
    <t>セッション変数の使い方</t>
    <rPh sb="8" eb="9">
      <t>ツカ</t>
    </rPh>
    <rPh sb="10" eb="11">
      <t>カタ</t>
    </rPh>
    <phoneticPr fontId="1"/>
  </si>
  <si>
    <t>https://qiita.com/rana_kualu/items/f9d87279036626278e61</t>
    <phoneticPr fontId="1"/>
  </si>
  <si>
    <t>http://php.net/manual/ja/session.examples.basic.php</t>
    <phoneticPr fontId="1"/>
  </si>
  <si>
    <t>setcookie()っていつ使うの？</t>
    <phoneticPr fontId="1"/>
  </si>
  <si>
    <t>完了</t>
    <phoneticPr fontId="1"/>
  </si>
  <si>
    <t>完了</t>
    <rPh sb="0" eb="2">
      <t>カンリョウ</t>
    </rPh>
    <phoneticPr fontId="1"/>
  </si>
  <si>
    <t>SS</t>
    <phoneticPr fontId="1"/>
  </si>
  <si>
    <t>2014/07/25</t>
    <phoneticPr fontId="1"/>
  </si>
  <si>
    <t>2018/07/04</t>
    <phoneticPr fontId="1"/>
  </si>
  <si>
    <t>2014/08/09</t>
    <phoneticPr fontId="1"/>
  </si>
  <si>
    <t>2014/07/25</t>
    <phoneticPr fontId="1"/>
  </si>
  <si>
    <t>photo_data/IK/20140701/thumbnail/thumbnail_20140701_002_Unknown.JPG</t>
  </si>
  <si>
    <t>photo_data/IK/20140701/20140701_003_Unknown.JPG</t>
  </si>
  <si>
    <t>photo_data/IK/20140701/thumbnail/thumbnail_20140701_003_Unknown.JPG</t>
  </si>
  <si>
    <t>photo_data/IK/20140701/20140701_004_Unknown.JPG</t>
  </si>
  <si>
    <t>photo_data/IK/20140701/thumbnail/thumbnail_20140701_004_Unknown.JPG</t>
  </si>
  <si>
    <t>photo_data/IK/20140701/20140701_005_Unknown.JPG</t>
  </si>
  <si>
    <t>photo_data/IK/20140701/thumbnail/thumbnail_20140701_005_Unknown.JPG</t>
  </si>
  <si>
    <t>photo_data/IK/20140701/20140701_006_Unknown.JPG</t>
  </si>
  <si>
    <t>photo_data/IK/20140701/thumbnail/thumbnail_20140701_006_Unknown.JPG</t>
  </si>
  <si>
    <t>photo_data/IK/20140701/20140701_007_Unknown.JPG</t>
  </si>
  <si>
    <t>photo_data/IK/20140701/thumbnail/thumbnail_20140701_007_Unknown.JPG</t>
  </si>
  <si>
    <t>photo_data/IK/20140701/20140701_008_Unknown.JPG</t>
  </si>
  <si>
    <t>photo_data/IK/20140701/thumbnail/thumbnail_20140701_008_Unknown.JPG</t>
  </si>
  <si>
    <t>photo_data/IK/20140701/20140701_009_Unknown.JPG</t>
  </si>
  <si>
    <t>photo_data/IK/20140701/thumbnail/thumbnail_20140701_009_Unknown.JPG</t>
  </si>
  <si>
    <t>photo_data/IK/20140701/20140701_010_Unknown.JPG</t>
  </si>
  <si>
    <t>photo_data/IK/20140701/thumbnail/thumbnail_20140701_010_Unknown.JPG</t>
  </si>
  <si>
    <t>photo_data/IK/20160613/20160613_001_Lomography Color 400.jpg</t>
  </si>
  <si>
    <t>photo_data/IK/20160613/thumbnail/thumbnail_20160613_001_Lomography Color 400.jpg</t>
  </si>
  <si>
    <t>photo_data/IK/20160613/20160613_002_Lomography Color 400.jpg</t>
  </si>
  <si>
    <t>photo_data/IK/20160613/thumbnail/thumbnail_20160613_002_Lomography Color 400.jpg</t>
  </si>
  <si>
    <t>photo_data/IK/20160613/20160613_003_Lomography Color 400.jpg</t>
  </si>
  <si>
    <t>photo_data/IK/20160613/thumbnail/thumbnail_20160613_003_Lomography Color 400.jpg</t>
  </si>
  <si>
    <t>photo_data/IK/20160613/20160613_004_Lomography Color 400.jpg</t>
  </si>
  <si>
    <t>photo_data/IK/20160613/thumbnail/thumbnail_20160613_004_Lomography Color 400.jpg</t>
  </si>
  <si>
    <t>photo_data/IK/20160613/20160613_005_Lomography Color 400.jpg</t>
  </si>
  <si>
    <t>photo_data/IK/20160613/thumbnail/thumbnail_20160613_005_Lomography Color 400.jpg</t>
  </si>
  <si>
    <t>photo_data/IK/20180415/20180415_001_Cinestill 50D.jpg</t>
  </si>
  <si>
    <t>photo_data/IK/20180415/thumbnail/thumbnail_20180415_001_Cinestill 50D.jpg</t>
  </si>
  <si>
    <t>photo_data/IK/20180415/20180415_002_Cinestill 50D.jpg</t>
  </si>
  <si>
    <t>photo_data/IK/20180415/thumbnail/thumbnail_20180415_002_Cinestill 50D.jpg</t>
  </si>
  <si>
    <t>photo_data/IK/20180415/20180415_003_Cinestill 50D.jpg</t>
  </si>
  <si>
    <t>photo_data/IK/20180415/thumbnail/thumbnail_20180415_003_Cinestill 50D.jpg</t>
  </si>
  <si>
    <t>photo_data/IK/20180415/20180415_004_Cinestill 50D.jpg</t>
  </si>
  <si>
    <t>photo_data/IK/20180415/thumbnail/thumbnail_20180415_004_Cinestill 50D.jpg</t>
  </si>
  <si>
    <t>photo_data/IK/20180415/20180415_005_Cinestill 50D.jpg</t>
  </si>
  <si>
    <t>photo_data/IK/20180415/thumbnail/thumbnail_20180415_005_Cinestill 50D.jpg</t>
  </si>
  <si>
    <t>photo_data/IK/20140725/20140725_001_Unknown.JPG</t>
  </si>
  <si>
    <t>photo_data/IK/20140725/thumbnail/thumbnail_20140725_001_Unknown.JPG</t>
  </si>
  <si>
    <t>photo_data/IK/20140725/20140725_002_Unknown.JPG</t>
  </si>
  <si>
    <t>photo_data/IK/20140725/thumbnail/thumbnail_20140725_002_Unknown.JPG</t>
  </si>
  <si>
    <t>photo_data/IK/20140725/20140725_003_Unknown.JPG</t>
  </si>
  <si>
    <t>photo_data/IK/20140725/thumbnail/thumbnail_20140725_003_Unknown.JPG</t>
  </si>
  <si>
    <t>photo_data/IK/20140725/20140725_004_Unknown.JPG</t>
  </si>
  <si>
    <t>photo_data/IK/20140725/thumbnail/thumbnail_20140725_004_Unknown.JPG</t>
  </si>
  <si>
    <t>photo_data/IK/20140725/20140725_005_Unknown.JPG</t>
  </si>
  <si>
    <t>photo_data/IK/20140725/thumbnail/thumbnail_20140725_005_Unknown.JPG</t>
  </si>
  <si>
    <t>photo_data/IK/20140725/20140725_006_Unknown.JPG</t>
  </si>
  <si>
    <t>photo_data/IK/20140725/thumbnail/thumbnail_20140725_006_Unknown.JPG</t>
  </si>
  <si>
    <t>photo_data/IK/20140725/20140725_007_Unknown.JPG</t>
  </si>
  <si>
    <t>photo_data/IK/20140725/thumbnail/thumbnail_20140725_007_Unknown.JPG</t>
  </si>
  <si>
    <t>photo_data/IK/20140725/20140725_008_Unknown.JPG</t>
  </si>
  <si>
    <t>photo_data/IK/20140725/thumbnail/thumbnail_20140725_008_Unknown.JPG</t>
  </si>
  <si>
    <t>photo_data/IK/20140725/20140725_009_Unknown.JPG</t>
  </si>
  <si>
    <t>photo_data/IK/20140725/thumbnail/thumbnail_20140725_009_Unknown.JPG</t>
  </si>
  <si>
    <t>photo_data/IK/20140725/20140725_010_Unknown.JPG</t>
  </si>
  <si>
    <t>photo_data/IK/20140725/thumbnail/thumbnail_20140725_010_Unknown.JPG</t>
  </si>
  <si>
    <t>photo_data/IK/20180704/20180704_001_JCH STREET PAN 400.jpg</t>
  </si>
  <si>
    <t>photo_data/IK/20180704/thumbnail/thumbnail_20180704_001_JCH STREET PAN 400.jpg</t>
  </si>
  <si>
    <t>photo_data/IK/20180704/20180704_002_JCH STREET PAN 400.jpg</t>
  </si>
  <si>
    <t>photo_data/IK/20180704/thumbnail/thumbnail_20180704_002_JCH STREET PAN 400.jpg</t>
  </si>
  <si>
    <t>photo_data/IK/20180704/20180704_003_JCH STREET PAN 400.jpg</t>
  </si>
  <si>
    <t>photo_data/IK/20180704/thumbnail/thumbnail_20180704_003_JCH STREET PAN 400.jpg</t>
  </si>
  <si>
    <t>photo_data/IK/20180704/20180704_004_JCH STREET PAN 400.jpg</t>
  </si>
  <si>
    <t>photo_data/IK/20180704/thumbnail/thumbnail_20180704_004_JCH STREET PAN 400.jpg</t>
  </si>
  <si>
    <t>photo_data/IK/20180704/20180704_005_JCH STREET PAN 400.jpg</t>
  </si>
  <si>
    <t>photo_data/IK/20180704/thumbnail/thumbnail_20180704_005_JCH STREET PAN 400.jpg</t>
  </si>
  <si>
    <t>photo_data/IK/20180704/20180704_006_JCH STREET PAN 400.jpg</t>
  </si>
  <si>
    <t>photo_data/IK/20180704/thumbnail/thumbnail_20180704_006_JCH STREET PAN 400.jpg</t>
  </si>
  <si>
    <t>photo_data/IK/20180704/20180704_007_JCH STREET PAN 400.jpg</t>
  </si>
  <si>
    <t>photo_data/IK/20180704/thumbnail/thumbnail_20180704_007_JCH STREET PAN 400.jpg</t>
  </si>
  <si>
    <t>photo_data/IK/20180704/20180704_008_JCH STREET PAN 400.jpg</t>
  </si>
  <si>
    <t>photo_data/IK/20180704/thumbnail/thumbnail_20180704_008_JCH STREET PAN 400.jpg</t>
  </si>
  <si>
    <t>photo_data/IK/20180704/20180704_009_JCH STREET PAN 400.jpg</t>
  </si>
  <si>
    <t>photo_data/IK/20180704/thumbnail/thumbnail_20180704_009_JCH STREET PAN 400.jpg</t>
  </si>
  <si>
    <t>photo_data/IK/20180704/20180704_010_JCH STREET PAN 400.jpg</t>
  </si>
  <si>
    <t>photo_data/IK/20180704/thumbnail/thumbnail_20180704_010_JCH STREET PAN 400.jpg</t>
  </si>
  <si>
    <t>photo_data/IK/20140809/20140809_001_Unknown.JPG</t>
  </si>
  <si>
    <t>photo_data/IK/20140809/thumbnail/thumbnail_20140809_001_Unknown.JPG</t>
  </si>
  <si>
    <t>photo_data/IK/20140809/20140809_002_Unknown.JPG</t>
  </si>
  <si>
    <t>photo_data/IK/20140809/thumbnail/thumbnail_20140809_002_Unknown.JPG</t>
  </si>
  <si>
    <t>photo_data/IK/20140809/20140809_003_Unknown.JPG</t>
  </si>
  <si>
    <t>photo_data/IK/20140809/thumbnail/thumbnail_20140809_003_Unknown.JPG</t>
  </si>
  <si>
    <t>img要素が回転するのを直す</t>
    <rPh sb="3" eb="5">
      <t>ヨウソ</t>
    </rPh>
    <rPh sb="6" eb="8">
      <t>カイテン</t>
    </rPh>
    <rPh sb="12" eb="13">
      <t>ナオ</t>
    </rPh>
    <phoneticPr fontId="1"/>
  </si>
  <si>
    <t>http://bashalog.c-brains.jp/18/04/19-180000.php</t>
    <phoneticPr fontId="1"/>
  </si>
  <si>
    <t>https://nori-life.com/javascript-canvas-exif-adjust/</t>
    <phoneticPr fontId="1"/>
  </si>
  <si>
    <t>https://gist.github.com/xl1/55aa630747d7eb4fa97361baa80bab63</t>
    <phoneticPr fontId="1"/>
  </si>
  <si>
    <t>https://qiita.com/simiraaaa/items/ee243b69bb0e52af069a</t>
    <phoneticPr fontId="1"/>
  </si>
  <si>
    <t>http://www.sql-reference.com/summary/count.html</t>
    <phoneticPr fontId="1"/>
  </si>
  <si>
    <t>レコード数を取得する</t>
    <phoneticPr fontId="1"/>
  </si>
  <si>
    <t xml:space="preserve">ソートした後にレコードに連番を付与 </t>
    <phoneticPr fontId="1"/>
  </si>
  <si>
    <t>https://www.psi-net.co.jp/blog/?p=383</t>
    <phoneticPr fontId="1"/>
  </si>
  <si>
    <t>phpでの小数点を切り捨てや切り上げする方法</t>
    <phoneticPr fontId="1"/>
  </si>
  <si>
    <t>https://blog.codecamp.jp/php-floor-ceil-round</t>
    <phoneticPr fontId="1"/>
  </si>
  <si>
    <t>Safariで崩れる！？ floatを使わずdisplay:inline-blockで横並びにする方法</t>
    <phoneticPr fontId="1"/>
  </si>
  <si>
    <t>http://www.yabi-blog.xyz/safari_float_display_inline-block/</t>
    <phoneticPr fontId="1"/>
  </si>
  <si>
    <t>http://www.itsenka.com/contents/development/html-css/html/button.html</t>
    <phoneticPr fontId="1"/>
  </si>
  <si>
    <t>&lt;button&gt;要素</t>
    <rPh sb="8" eb="10">
      <t>ヨウソ</t>
    </rPh>
    <phoneticPr fontId="1"/>
  </si>
  <si>
    <t>【フォーム】iOSのボタンが角丸グラデーションになるのをリセット</t>
    <phoneticPr fontId="1"/>
  </si>
  <si>
    <t>https://www.webdlab.com/labs/ios-button/</t>
    <phoneticPr fontId="1"/>
  </si>
  <si>
    <t>画像の下にできる余白を消す方法</t>
    <phoneticPr fontId="1"/>
  </si>
  <si>
    <t>SET LIN 文字数（バイト数）</t>
    <phoneticPr fontId="1"/>
  </si>
  <si>
    <t>１行の長さを設定</t>
    <phoneticPr fontId="1"/>
  </si>
  <si>
    <t>camera_code</t>
    <phoneticPr fontId="1"/>
  </si>
  <si>
    <t>session_start()→POST遷移→戻る→有効期限切れ を防ぐ</t>
    <phoneticPr fontId="1"/>
  </si>
  <si>
    <t>https://qiita.com/mgng/items/ae3c4c07f920a5e6e2ed</t>
    <phoneticPr fontId="1"/>
  </si>
  <si>
    <t>PHPでフォームからデータを受け取る方法（GET）</t>
    <phoneticPr fontId="1"/>
  </si>
  <si>
    <t>https://techacademy.jp/magazine/4955#sec1</t>
    <phoneticPr fontId="1"/>
  </si>
  <si>
    <t>[tech]HTTP GETメソッドのURIの長さ制限を調べてみた</t>
    <phoneticPr fontId="1"/>
  </si>
  <si>
    <t>http://d.hatena.ne.jp/Kazumi007/20090921/1253501500</t>
    <phoneticPr fontId="1"/>
  </si>
  <si>
    <t>表の結合(LEFT JOIN)</t>
    <rPh sb="0" eb="1">
      <t>ヒョウ</t>
    </rPh>
    <rPh sb="2" eb="4">
      <t>ケツゴウ</t>
    </rPh>
    <phoneticPr fontId="1"/>
  </si>
  <si>
    <t>http://www.pursue.ne.jp/jouhousyo/SQLDoc/select22.html</t>
    <phoneticPr fontId="1"/>
  </si>
  <si>
    <t>JavaScript の Date は罠が多すぎる(月は 0 から始まる)</t>
    <phoneticPr fontId="1"/>
  </si>
  <si>
    <t>https://qiita.com/labocho/items/5fbaa0491b67221419b4</t>
    <phoneticPr fontId="1"/>
  </si>
  <si>
    <t>月の値を取得するメソッド(getMonth())</t>
    <phoneticPr fontId="1"/>
  </si>
  <si>
    <t>https://www.ajaxtower.jp/js/date_class/index8.html</t>
    <phoneticPr fontId="1"/>
  </si>
  <si>
    <t>配列の宣言</t>
    <phoneticPr fontId="1"/>
  </si>
  <si>
    <t>https://blog.codecamp.jp/javascript-array</t>
    <phoneticPr fontId="1"/>
  </si>
  <si>
    <t>returnの使い方</t>
    <phoneticPr fontId="1"/>
  </si>
  <si>
    <t>https://www.sejuku.net/blog/28728#return</t>
    <phoneticPr fontId="1"/>
  </si>
  <si>
    <t>オブジェクトの基本知識</t>
    <phoneticPr fontId="1"/>
  </si>
  <si>
    <t>https://www.ajaxtower.jp/js/object/index2.html</t>
    <phoneticPr fontId="1"/>
  </si>
  <si>
    <t>配列に変更を加えるメソッド</t>
    <rPh sb="0" eb="2">
      <t>ハイレツ</t>
    </rPh>
    <phoneticPr fontId="1"/>
  </si>
  <si>
    <t>https://qiita.com/sh19910711/items/3c0776fd8cc1797f955d</t>
    <phoneticPr fontId="1"/>
  </si>
  <si>
    <t>lengthプロパティ</t>
    <phoneticPr fontId="1"/>
  </si>
  <si>
    <t>https://www.ajaxtower.jp/js/array_class/index2.html</t>
    <phoneticPr fontId="1"/>
  </si>
  <si>
    <t>tbodyタグの意味と使い方</t>
    <phoneticPr fontId="1"/>
  </si>
  <si>
    <t>https://dekiru.net/article/12951/</t>
    <phoneticPr fontId="1"/>
  </si>
  <si>
    <t>https://dekiru.net/article/12950/</t>
    <phoneticPr fontId="1"/>
  </si>
  <si>
    <t>theadタグの意味と使い方</t>
    <phoneticPr fontId="1"/>
  </si>
  <si>
    <t>JavaScriptでカレンダーを作成する</t>
    <phoneticPr fontId="1"/>
  </si>
  <si>
    <t>http://cly7796.net/wp/javascript/create-a-calendar-with-javascript/</t>
    <phoneticPr fontId="1"/>
  </si>
  <si>
    <t xml:space="preserve">オラクルでコンピュータ名や IP アドレス変更 </t>
    <phoneticPr fontId="1"/>
  </si>
  <si>
    <t>http://dss.o.oo7.jp/cgi/PT.cgi?Oracle/ChangeIP</t>
    <phoneticPr fontId="1"/>
  </si>
  <si>
    <t xml:space="preserve">Oracle12.1 におけるホスト名/IPアドレスの変更 </t>
    <phoneticPr fontId="1"/>
  </si>
  <si>
    <t>http://kyoukara20140123.hatenablog.com/entry/2017/01/14/201748</t>
    <phoneticPr fontId="1"/>
  </si>
  <si>
    <t>photo_retrieval</t>
    <phoneticPr fontId="1"/>
  </si>
  <si>
    <t>setFullYear / setMonth / setDateメソッド</t>
    <phoneticPr fontId="1"/>
  </si>
  <si>
    <t>https://www.ajaxtower.jp/js/date_class/index14.html</t>
    <phoneticPr fontId="1"/>
  </si>
  <si>
    <t>JavaScript 要素を追加/削除する(createElement/removeChild)</t>
    <phoneticPr fontId="1"/>
  </si>
  <si>
    <t>JavaScript 要素を追加/削除する(createElement/removeChild)</t>
    <phoneticPr fontId="1"/>
  </si>
  <si>
    <t>class属性値を取得、変更する方法</t>
    <phoneticPr fontId="1"/>
  </si>
  <si>
    <t>https://lab.syncer.jp/Web/JavaScript/Snippet/76/</t>
    <phoneticPr fontId="1"/>
  </si>
  <si>
    <t>指定した要素の子ノードのリストの最後に、ノードを挿入</t>
    <phoneticPr fontId="1"/>
  </si>
  <si>
    <t>http://js.studio-kingdom.com/javascript/node/append_child</t>
    <phoneticPr fontId="1"/>
  </si>
  <si>
    <t>文字を表示する</t>
    <phoneticPr fontId="1"/>
  </si>
  <si>
    <t>https://www.pazru.net/js/kihon/5.html</t>
    <phoneticPr fontId="1"/>
  </si>
  <si>
    <t>【JavaScript入門】joinや+演算子で配列や文字列を連結・結合する</t>
    <phoneticPr fontId="1"/>
  </si>
  <si>
    <t>https://www.sejuku.net/blog/21149/</t>
    <phoneticPr fontId="1"/>
  </si>
  <si>
    <t>jQueryのajax()を利用すると返り値をとりたいときのやり方</t>
    <phoneticPr fontId="1"/>
  </si>
  <si>
    <t>https://qiita.com/katsukii/items/bd64efcf4f070d77c028</t>
    <phoneticPr fontId="1"/>
  </si>
  <si>
    <t>Ajaxの返り値を受け取ってからの処理</t>
    <phoneticPr fontId="1"/>
  </si>
  <si>
    <t>https://teratail.com/questions/70084</t>
    <phoneticPr fontId="1"/>
  </si>
  <si>
    <t>imgタグの画像読み込みを監視する</t>
    <phoneticPr fontId="1"/>
  </si>
  <si>
    <t>https://qiita.com/s_s_k/items/b837278c66139c50f174</t>
    <phoneticPr fontId="1"/>
  </si>
  <si>
    <t>filming_date</t>
    <phoneticPr fontId="1"/>
  </si>
  <si>
    <t>完了</t>
    <rPh sb="0" eb="2">
      <t>カンリョウ</t>
    </rPh>
    <phoneticPr fontId="1"/>
  </si>
  <si>
    <t>完了</t>
    <rPh sb="0" eb="2">
      <t>カンリョウ</t>
    </rPh>
    <phoneticPr fontId="1"/>
  </si>
  <si>
    <t>password</t>
    <phoneticPr fontId="1"/>
  </si>
  <si>
    <t>last_login_time</t>
    <phoneticPr fontId="1"/>
  </si>
  <si>
    <t>slide_speed</t>
    <phoneticPr fontId="1"/>
  </si>
  <si>
    <t>secret_status</t>
    <phoneticPr fontId="1"/>
  </si>
  <si>
    <t>slow/normal/high</t>
    <phoneticPr fontId="1"/>
  </si>
  <si>
    <t>visible/hidden</t>
    <phoneticPr fontId="1"/>
  </si>
  <si>
    <t>user_table</t>
    <phoneticPr fontId="1"/>
  </si>
  <si>
    <t>javascript 戻るボタン</t>
    <phoneticPr fontId="1"/>
  </si>
  <si>
    <t>http://www.ahref.org/doc/hinagata/back.html</t>
    <phoneticPr fontId="1"/>
  </si>
  <si>
    <t>フォームの要素を選択状態にしておく</t>
    <rPh sb="5" eb="7">
      <t>ヨウソ</t>
    </rPh>
    <phoneticPr fontId="1"/>
  </si>
  <si>
    <t>http://html5.cyberlab.info/elements/forms/option-selected.html</t>
    <phoneticPr fontId="1"/>
  </si>
  <si>
    <t>FormData オブジェクトを作成する</t>
    <phoneticPr fontId="1"/>
  </si>
  <si>
    <t>https://hakuhin.jp/js/form_data.html#FORM_DATA_01</t>
  </si>
  <si>
    <t>FormDataオブジェクトの中身を確認する方法</t>
    <phoneticPr fontId="1"/>
  </si>
  <si>
    <t>http://ysklog.net/javascript/5607.html</t>
    <phoneticPr fontId="1"/>
  </si>
  <si>
    <t>JavaScriptのイベントハンドラをHTMLには書かずに外部ファイルで設定する</t>
    <phoneticPr fontId="1"/>
  </si>
  <si>
    <t>https://glatchdesign.com/blog/web/javascript/700</t>
    <phoneticPr fontId="1"/>
  </si>
  <si>
    <t>入力フォームの値を取得する方法</t>
    <phoneticPr fontId="1"/>
  </si>
  <si>
    <t>https://lab.syncer.jp/Web/JavaScript/Snippet/28/</t>
    <phoneticPr fontId="1"/>
  </si>
  <si>
    <t xml:space="preserve">チェックボックスがチェックされているか取得する </t>
    <phoneticPr fontId="1"/>
  </si>
  <si>
    <t>https://www.ipentec.com/document/javascript-get-checkbox-value</t>
    <phoneticPr fontId="1"/>
  </si>
  <si>
    <t>読み込まれたテキストを書き換える</t>
    <phoneticPr fontId="1"/>
  </si>
  <si>
    <t>https://www.pazru.net/js/DOM/2.html</t>
    <phoneticPr fontId="1"/>
  </si>
  <si>
    <t>buttonタグをクリックする度に画面がリロードされる</t>
    <phoneticPr fontId="1"/>
  </si>
  <si>
    <t>https://www.out48.com/archives/2080/</t>
    <phoneticPr fontId="1"/>
  </si>
  <si>
    <t>lengthで文字列や配列の長さを取得する方法</t>
    <phoneticPr fontId="1"/>
  </si>
  <si>
    <t>https://www.sejuku.net/blog/22120/</t>
    <phoneticPr fontId="1"/>
  </si>
  <si>
    <t>処理を途中で終了したい場合</t>
    <phoneticPr fontId="1"/>
  </si>
  <si>
    <t>http://pcmanabu.com/javascript.html</t>
  </si>
  <si>
    <t>JavaScript【 try…catch 】 ～ 例外処理</t>
    <phoneticPr fontId="1"/>
  </si>
  <si>
    <t>http://www.recipi.jp/8314</t>
    <phoneticPr fontId="1"/>
  </si>
  <si>
    <t>正規表現(match)</t>
    <phoneticPr fontId="1"/>
  </si>
  <si>
    <t>https://developer.mozilla.org/ja/docs/Web/JavaScript/Reference/Global_Objects/String/match</t>
    <phoneticPr fontId="1"/>
  </si>
  <si>
    <t>全角文字のみ取り出す正規表現</t>
    <rPh sb="6" eb="7">
      <t>ト</t>
    </rPh>
    <rPh sb="8" eb="9">
      <t>ダ</t>
    </rPh>
    <rPh sb="10" eb="12">
      <t>セイキ</t>
    </rPh>
    <rPh sb="12" eb="14">
      <t>ヒョウゲン</t>
    </rPh>
    <phoneticPr fontId="1"/>
  </si>
  <si>
    <t>http://www.ksknet.net/javascript/post_172.html</t>
    <phoneticPr fontId="1"/>
  </si>
  <si>
    <t>https://qiita.com/jiyu/items/6c14a2a47283d7b36e49</t>
    <phoneticPr fontId="1"/>
  </si>
  <si>
    <t>PHPで処理を止めるexit( )の使い方</t>
    <phoneticPr fontId="1"/>
  </si>
  <si>
    <t>https://techacademy.jp/magazine/18330</t>
    <phoneticPr fontId="1"/>
  </si>
  <si>
    <t>user_table</t>
    <phoneticPr fontId="1"/>
  </si>
  <si>
    <t>password</t>
    <phoneticPr fontId="1"/>
  </si>
  <si>
    <t>last_login_time</t>
    <phoneticPr fontId="1"/>
  </si>
  <si>
    <t>slide_speed</t>
    <phoneticPr fontId="1"/>
  </si>
  <si>
    <t>secret_status</t>
    <phoneticPr fontId="1"/>
  </si>
  <si>
    <t>user_name</t>
    <phoneticPr fontId="1"/>
  </si>
  <si>
    <t>ociでSQL文を実行する</t>
    <phoneticPr fontId="1"/>
  </si>
  <si>
    <t>http://www.phppro.jp/phpmanual/php/function.oci-execute.html</t>
    <phoneticPr fontId="1"/>
  </si>
  <si>
    <t>INSERT（挿入）</t>
    <phoneticPr fontId="1"/>
  </si>
  <si>
    <t>https://oracle-chokotto.com/ora_insert.html</t>
    <phoneticPr fontId="1"/>
  </si>
  <si>
    <t>UPDATE（更新）</t>
    <phoneticPr fontId="1"/>
  </si>
  <si>
    <t>https://oracle-chokotto.com/ora_update.html</t>
    <phoneticPr fontId="1"/>
  </si>
  <si>
    <t>JavaScript 現在のページをリロードしたい</t>
    <phoneticPr fontId="1"/>
  </si>
  <si>
    <t>https://qiita.com/39_isao/items/1c26314d1dae8be539a5</t>
    <phoneticPr fontId="1"/>
  </si>
  <si>
    <t>http://weback.net/htmlcss/1284/</t>
    <phoneticPr fontId="1"/>
  </si>
  <si>
    <t>入力ボックスの初期値として薄いグレーの文字を表示する</t>
    <phoneticPr fontId="1"/>
  </si>
  <si>
    <t>完了</t>
    <rPh sb="0" eb="2">
      <t>カンリョウ</t>
    </rPh>
    <phoneticPr fontId="1"/>
  </si>
  <si>
    <t>filming_date</t>
    <phoneticPr fontId="1"/>
  </si>
  <si>
    <t>camera_code</t>
    <phoneticPr fontId="1"/>
  </si>
  <si>
    <t>完了</t>
    <rPh sb="0" eb="2">
      <t>カンリョウ</t>
    </rPh>
    <phoneticPr fontId="1"/>
  </si>
  <si>
    <t>登録情報編集ページ</t>
    <phoneticPr fontId="1"/>
  </si>
  <si>
    <t>PHPで文字列を分割して配列にする</t>
    <rPh sb="12" eb="14">
      <t>ハイレツ</t>
    </rPh>
    <phoneticPr fontId="1"/>
  </si>
  <si>
    <t>https://www.sejuku.net/blog/47875#preg_split</t>
    <phoneticPr fontId="1"/>
  </si>
  <si>
    <t>【PHP】連想配列、配列への追加</t>
    <phoneticPr fontId="1"/>
  </si>
  <si>
    <t>https://qiita.com/kazu56/items/6947a0e4830eb556d575</t>
    <phoneticPr fontId="1"/>
  </si>
  <si>
    <t>https://www.tagindex.com/html_tag/form/input_radio.html</t>
    <phoneticPr fontId="1"/>
  </si>
  <si>
    <t xml:space="preserve">&lt;input type="radio"&gt; </t>
    <phoneticPr fontId="1"/>
  </si>
  <si>
    <t>文字列を数値に変換する</t>
    <phoneticPr fontId="1"/>
  </si>
  <si>
    <t>http://www.24w.jp/study_contents.php?bid=php&amp;iid=php&amp;sid=string&amp;cid=005</t>
    <phoneticPr fontId="1"/>
  </si>
  <si>
    <t>文字列の並び順について</t>
    <phoneticPr fontId="1"/>
  </si>
  <si>
    <t>https://ameblo.jp/archive-redo-blog/entry-10034796525.html</t>
    <phoneticPr fontId="1"/>
  </si>
  <si>
    <t>プルダウンメニューの変更後にスクリプトを実行(onChange)</t>
    <rPh sb="10" eb="12">
      <t>ヘンコウ</t>
    </rPh>
    <rPh sb="12" eb="13">
      <t>ゴ</t>
    </rPh>
    <rPh sb="20" eb="22">
      <t>ジッコウ</t>
    </rPh>
    <phoneticPr fontId="1"/>
  </si>
  <si>
    <t>https://www.ajaxtower.jp/js/event/index3.html</t>
    <phoneticPr fontId="1"/>
  </si>
  <si>
    <t>Lomography Color 400</t>
    <phoneticPr fontId="1"/>
  </si>
  <si>
    <t>VARCHAR2(60)</t>
    <phoneticPr fontId="1"/>
  </si>
  <si>
    <t>name 属性</t>
    <phoneticPr fontId="1"/>
  </si>
  <si>
    <t>https://reference.hyper-text.org/html5/attribute/name/</t>
    <phoneticPr fontId="1"/>
  </si>
  <si>
    <t>【jQuery入門】ラジオボタン(radio要素)の取得・選択・checked操作！</t>
    <phoneticPr fontId="1"/>
  </si>
  <si>
    <t>https://www.sejuku.net/blog/46739</t>
    <phoneticPr fontId="1"/>
  </si>
  <si>
    <t>inputタグの便利な属性(入力文字数制限とか入力欄に初期値を表示とか)</t>
    <phoneticPr fontId="1"/>
  </si>
  <si>
    <t>https://qiita.com/oh_rusty_nail/items/e08f6b323d526fab3d55</t>
    <phoneticPr fontId="1"/>
  </si>
  <si>
    <t>日付入力フォームに無効な日付やうるう年の対策をする</t>
    <rPh sb="0" eb="2">
      <t>ヒヅケ</t>
    </rPh>
    <rPh sb="2" eb="4">
      <t>ニュウリョク</t>
    </rPh>
    <rPh sb="9" eb="11">
      <t>ムコウ</t>
    </rPh>
    <rPh sb="12" eb="14">
      <t>ヒヅケ</t>
    </rPh>
    <rPh sb="18" eb="19">
      <t>ドシ</t>
    </rPh>
    <rPh sb="20" eb="22">
      <t>タイサク</t>
    </rPh>
    <phoneticPr fontId="1"/>
  </si>
  <si>
    <t>https://www.granfairs.com/blog/staff/jquery-date-control</t>
    <phoneticPr fontId="1"/>
  </si>
  <si>
    <t>数値←→文字列のデータ型の変換</t>
    <rPh sb="11" eb="12">
      <t>ガタ</t>
    </rPh>
    <rPh sb="13" eb="15">
      <t>ヘンカン</t>
    </rPh>
    <phoneticPr fontId="1"/>
  </si>
  <si>
    <t>https://www.sejuku.net/blog/23998#NumberparseInt</t>
    <phoneticPr fontId="1"/>
  </si>
  <si>
    <t>JSでオブジェクトの指定に変数を使う。</t>
    <phoneticPr fontId="1"/>
  </si>
  <si>
    <t>http://kobazlab.main.jp/2016/06/08/js%E3%81%A7%E3%82%AA%E3%83%96%E3%82%B8%E3%82%A7%E3%82%AF%E3%83%88%E3%81%AE%E6%8C%87%E5%AE%9A%E3%81%AB%E5%A4%89%E6%95%B0%E3%82%92%E4%BD%BF%E3%81%86%E3%80%82/</t>
    <phoneticPr fontId="1"/>
  </si>
  <si>
    <t>option要素</t>
    <phoneticPr fontId="1"/>
  </si>
  <si>
    <t>https://www.webdlab.com/html/form-option/</t>
    <phoneticPr fontId="1"/>
  </si>
  <si>
    <t>Option句の追加と削除</t>
    <phoneticPr fontId="1"/>
  </si>
  <si>
    <t>http://pgcafe.moo.jp/new/JS/index.php?dno=60&amp;fno=3</t>
    <phoneticPr fontId="1"/>
  </si>
  <si>
    <t>Element.childElementCount- 子要素の数を取得する</t>
    <phoneticPr fontId="1"/>
  </si>
  <si>
    <t>https://syncer.jp/javascript-reference/element/childelementcount</t>
    <phoneticPr fontId="1"/>
  </si>
  <si>
    <t xml:space="preserve">ページの読み込み前・直後・完了時にスクリプトを実行する方法いろいろ </t>
    <phoneticPr fontId="1"/>
  </si>
  <si>
    <t>https://www.nishishi.com/javascript-tips/onload-page.html</t>
    <phoneticPr fontId="1"/>
  </si>
  <si>
    <t>[JavaScript] 正規表現で整数や小数を判定する方法</t>
    <phoneticPr fontId="1"/>
  </si>
  <si>
    <t>https://blog.diginnovation.com/archives/2959/</t>
    <phoneticPr fontId="1"/>
  </si>
  <si>
    <t>【JavaScript入門】matchメソッドと正規表現で文字列を検索する方法</t>
    <phoneticPr fontId="1"/>
  </si>
  <si>
    <t>https://www.sejuku.net/blog/25583</t>
    <phoneticPr fontId="1"/>
  </si>
  <si>
    <t>数字のみを入力できるフォーム(テキストボックス)を作成する</t>
    <phoneticPr fontId="1"/>
  </si>
  <si>
    <t>https://qiita.com/Avocado/items/2148d3af400823f91ea5</t>
    <phoneticPr fontId="1"/>
  </si>
  <si>
    <t>&lt;input type="tel"&gt; …… 電話番号の入力欄を作成する</t>
    <phoneticPr fontId="1"/>
  </si>
  <si>
    <t>http://www.htmq.com/html5/input_type_tel.shtml</t>
    <phoneticPr fontId="1"/>
  </si>
  <si>
    <t>camera_name</t>
    <phoneticPr fontId="1"/>
  </si>
  <si>
    <t>user_name</t>
    <phoneticPr fontId="1"/>
  </si>
  <si>
    <t>camera_name</t>
    <phoneticPr fontId="1"/>
  </si>
  <si>
    <t>Cinestill 50D</t>
    <phoneticPr fontId="1"/>
  </si>
  <si>
    <t>user_name</t>
    <phoneticPr fontId="1"/>
  </si>
  <si>
    <t>camera_code</t>
    <phoneticPr fontId="1"/>
  </si>
  <si>
    <t>serial_number</t>
    <phoneticPr fontId="1"/>
  </si>
  <si>
    <t>連番を採番してINSERTするサンプル</t>
    <phoneticPr fontId="1"/>
  </si>
  <si>
    <t>https://oracle.programmer-reference.com/plsql-max-insert/</t>
    <phoneticPr fontId="1"/>
  </si>
  <si>
    <t>isset関数とempty関数と「!」の違い</t>
    <phoneticPr fontId="1"/>
  </si>
  <si>
    <t>https://php1st.com/1402</t>
    <phoneticPr fontId="1"/>
  </si>
  <si>
    <t>photo_operation</t>
    <phoneticPr fontId="1"/>
  </si>
  <si>
    <t>完了</t>
    <rPh sb="0" eb="2">
      <t>カンリョウ</t>
    </rPh>
    <phoneticPr fontId="1"/>
  </si>
  <si>
    <t>OracleのDELETE（削除）</t>
    <phoneticPr fontId="1"/>
  </si>
  <si>
    <t>https://sql-oracle.com/?p=1274</t>
    <phoneticPr fontId="1"/>
  </si>
  <si>
    <t>現在日付（システム日付）を取得する</t>
    <phoneticPr fontId="1"/>
  </si>
  <si>
    <t>http://www.24w.jp/study_contents.php?bid=php&amp;iid=php&amp;sid=date&amp;cid=001</t>
    <phoneticPr fontId="1"/>
  </si>
  <si>
    <t>システム日付を取得する（SYSDATE、SYSTIMESTAMP）</t>
    <phoneticPr fontId="1"/>
  </si>
  <si>
    <t>http://oracle.se-free.com/dml/07_sysdate.html</t>
    <phoneticPr fontId="1"/>
  </si>
  <si>
    <t>[PHP] date関数の時間(TimeZone)がずれる</t>
    <phoneticPr fontId="1"/>
  </si>
  <si>
    <t>https://amidagamine.com/notes/404</t>
    <phoneticPr fontId="1"/>
  </si>
  <si>
    <t>php.iniの設定を変更し、反映させる</t>
    <phoneticPr fontId="1"/>
  </si>
  <si>
    <t>http://raining.bear-life.com/linux/php-ini%E3%81%AE%E8%A8%AD%E5%AE%9A%E3%82%92%E5%A4%89%E6%9B%B4%E3%81%97%E3%80%81%E5%8F%8D%E6%98%A0%E3%81%95%E3%81%9B%E3%82%8B</t>
    <phoneticPr fontId="1"/>
  </si>
  <si>
    <t>[JavaScript] 要素のidを変更する</t>
    <phoneticPr fontId="1"/>
  </si>
  <si>
    <t>https://javascript.programmer-reference.com/js-id-change/</t>
    <phoneticPr fontId="1"/>
  </si>
  <si>
    <t>input type=image オブジェクト</t>
    <phoneticPr fontId="1"/>
  </si>
  <si>
    <t>http://alphasis.info/javascript/dom/input_type_image_object/</t>
    <phoneticPr fontId="1"/>
  </si>
  <si>
    <t>Element.childElementCount- 子要素の数を取得する</t>
    <phoneticPr fontId="1"/>
  </si>
  <si>
    <t>https://syncer.jp/javascript-reference/element/childelementcount</t>
    <phoneticPr fontId="1"/>
  </si>
  <si>
    <t>JavaScriptでのグローバル変数の宣言方法</t>
    <phoneticPr fontId="1"/>
  </si>
  <si>
    <t>https://uxmilk.jp/11598</t>
    <phoneticPr fontId="1"/>
  </si>
  <si>
    <t>「display:inline-block」での隙間（余白）を消す方法</t>
    <phoneticPr fontId="1"/>
  </si>
  <si>
    <t>ファイルのアップロード</t>
  </si>
  <si>
    <t>http://gihyo.jp/dev/serial/01/start-php/0012?page=1</t>
    <phoneticPr fontId="1"/>
  </si>
  <si>
    <t>HTML5でファイル複数同時アップロード</t>
  </si>
  <si>
    <t>https://suin.io/486</t>
    <phoneticPr fontId="1"/>
  </si>
  <si>
    <t>PHPでファイルアップロードを実装する方法</t>
  </si>
  <si>
    <t>https://uxmilk.jp/14317</t>
    <phoneticPr fontId="1"/>
  </si>
  <si>
    <t>JavaScriptのDOMでHTML要素を追加・削除</t>
    <phoneticPr fontId="1"/>
  </si>
  <si>
    <t>http://akiok-jp.hatenablog.com/entry/2013/04/21/215225</t>
    <phoneticPr fontId="1"/>
  </si>
  <si>
    <t>JavaScript 属性値を取得/設定する(getAttribute/setAttribute)</t>
    <phoneticPr fontId="1"/>
  </si>
  <si>
    <t>https://itsakura.com/js-getattribute</t>
    <phoneticPr fontId="1"/>
  </si>
  <si>
    <t>https://allabout.co.jp/gm/gc/23969/</t>
    <phoneticPr fontId="1"/>
  </si>
  <si>
    <t>ページ移動せずに内容を変更するタブ機能の作り方</t>
    <phoneticPr fontId="1"/>
  </si>
  <si>
    <t>【jQuery】コンテンツの表示順を簡単に入れかえる方法</t>
  </si>
  <si>
    <t>【jQuery】コンテンツの表示順を簡単に入れかえる方法</t>
    <phoneticPr fontId="1"/>
  </si>
  <si>
    <t>http://www.aiship.jp/knowhow/archives/27837</t>
  </si>
  <si>
    <t>http://www.aiship.jp/knowhow/archives/27837</t>
    <phoneticPr fontId="1"/>
  </si>
  <si>
    <t>&lt;input type=”file”&gt;の話</t>
  </si>
  <si>
    <t>https://www.cresco.co.jp/blog/entry/710/</t>
    <phoneticPr fontId="1"/>
  </si>
  <si>
    <t>input type="file" multiple で夢の複数ファイルをアップロード</t>
    <phoneticPr fontId="1"/>
  </si>
  <si>
    <t>https://kazumich.com/html5multiple.html</t>
    <phoneticPr fontId="1"/>
  </si>
  <si>
    <t>jQueryのattr()で属性操作を極めるコツ！</t>
  </si>
  <si>
    <t>https://www.sejuku.net/blog/37402#attr</t>
  </si>
  <si>
    <t>jQueryを利用したDOM操作 要素の追加メソッドまとめ</t>
  </si>
  <si>
    <t>https://qiita.com/nekoneko-wanwan/items/227ccad5f8cc449e91e9</t>
  </si>
  <si>
    <t>子ノードを全て削除する (removeChild)</t>
  </si>
  <si>
    <t>http://www.openspc2.org/reibun/javascript2/DOM/node/0005/index.html</t>
  </si>
  <si>
    <t>javascript　onClickでonClickの内容を変更</t>
  </si>
  <si>
    <t>http://d.hatena.ne.jp/kaitoh07/20080808/1218615435</t>
  </si>
  <si>
    <t>JavaScriptで直下の子要素を取得する</t>
  </si>
  <si>
    <t>https://qiita.com/tohu/items/3cc70d2dda0e49973c5f</t>
  </si>
  <si>
    <t>子ノードの取得</t>
  </si>
  <si>
    <t>https://www.ajaxtower.jp/js/dom/index4.html</t>
  </si>
  <si>
    <t>JavaScriptで要素の移動/複製はappendChild・insertBefore・cloneNodeを使う</t>
  </si>
  <si>
    <t>https://hapilaki.net/wiki/appendchild-insertbefore-clonenode</t>
  </si>
  <si>
    <t>【DOM基礎】ノードの取得／属性の取得・設定</t>
  </si>
  <si>
    <t>https://qiita.com/KDE_SPACE/items/e21bb31dd4d9c162c4a6</t>
  </si>
  <si>
    <t>子要素（子ノード）の取得</t>
  </si>
  <si>
    <t>http://shanabrian.com/web/javascript/child-nodes.php</t>
  </si>
  <si>
    <t>要素の取得方法まとめ</t>
  </si>
  <si>
    <t>https://qiita.com/amamamaou/items/25e8b4e1b41c8d3211f4</t>
  </si>
  <si>
    <t>JavaScriptのDOMで特定のHTML要素やHTMLコード、タグ内のテキストを取得する方法</t>
  </si>
  <si>
    <t>http://marycore.jp/prog/js/get-html-element/#%E8%A6%81%E7%B4%A0%E3%81%AE%E3%83%86%E3%82%AD%E3%82%B9%E3%83%88%E3%82%92%E5%8F%96%E5%BE%97%EF%BC%88innerText%2C%20textContent%EF%BC%89</t>
  </si>
  <si>
    <t>HTMLCollection - HTML要素の集合</t>
  </si>
  <si>
    <t>https://lab.syncer.jp/Web/API_Interface/Reference/IDL/HTMLCollection/</t>
  </si>
  <si>
    <t>NodeList オブジェクトとは</t>
  </si>
  <si>
    <t>https://developer.mozilla.org/ja/docs/Web/API/NodeList</t>
  </si>
  <si>
    <t>javascriptの連想配列と配列の違い</t>
  </si>
  <si>
    <t>https://qiita.com/katsukii/items/168bee174073ae7ec7e4</t>
  </si>
  <si>
    <t>PHPで連想配列を使う方法【初心者向け】</t>
  </si>
  <si>
    <t>PHPの多次元配列と連想配列についてのサンプル。</t>
  </si>
  <si>
    <t>https://techacademy.jp/magazine/4917</t>
    <phoneticPr fontId="1"/>
  </si>
  <si>
    <t>https://qiita.com/mmusasabi/items/4b7d2f27bd4604bfc17f</t>
    <phoneticPr fontId="1"/>
  </si>
  <si>
    <t>javascriptの多次元配列</t>
  </si>
  <si>
    <t>https://www.ajaxtower.jp/js/array/index5.html</t>
  </si>
  <si>
    <t>JavaScript→PHPに多次元配列を渡す</t>
  </si>
  <si>
    <t>http://rokujo.hatenadiary.com/entry/20141120/1416490690</t>
  </si>
  <si>
    <t>PHPで画像のリサイズ＆圧縮する方法を比較する</t>
  </si>
  <si>
    <t>php-gdのインストール PHP7</t>
  </si>
  <si>
    <t>https://qiita.com/tokutoku393/items/ebaaafaff90e48bfd42c</t>
    <phoneticPr fontId="1"/>
  </si>
  <si>
    <t>https://protocol.nekono.tokyo/2017/05/23/php-gd%E3%81%AE%E3%82%A4%E3%83%B3%E3%82%B9%E3%83%88%E3%83%BC%E3%83%AB-php7/</t>
    <phoneticPr fontId="1"/>
  </si>
  <si>
    <t>PHP GDで画像を自動で縮小してアップする</t>
  </si>
  <si>
    <t>HTML5+PHPで複数ファイルアップロード</t>
  </si>
  <si>
    <t>https://qiita.com/yuwaita/items/22a296bdf1898acbd70f</t>
    <phoneticPr fontId="1"/>
  </si>
  <si>
    <t>http://d.hatena.ne.jp/ariteku/20110320/1300628115</t>
    <phoneticPr fontId="1"/>
  </si>
  <si>
    <t>自分用: html5とphpを用いた複数ファイルのアップロード</t>
  </si>
  <si>
    <t>https://qiita.com/kiryuumomoka/items/0bd7bc0e96ea61d3aeec</t>
    <phoneticPr fontId="1"/>
  </si>
  <si>
    <t>[JavaScript] Ajaxでファイルをアップロード【jQuery使用】</t>
  </si>
  <si>
    <t>https://qiita.com/yasumodev/items/cffb735f46ffd489a4db</t>
  </si>
  <si>
    <t>jquery 複数の要素/属性をAND選択</t>
  </si>
  <si>
    <t>http://www.jquerystudy.info/reference/selectors/multiple1.html</t>
  </si>
  <si>
    <t>JavaScriptでファイル操作！？ File APIを使いこなそう (1/2)</t>
  </si>
  <si>
    <t>※同期しながらファイルを読み込む方法を調べるために見た</t>
  </si>
  <si>
    <t>http://www.atmarkit.co.jp/ait/articles/1112/16/news135.html</t>
  </si>
  <si>
    <t>ワーカー上で同期APIを使用するには？</t>
  </si>
  <si>
    <t>http://javascript-api.sophia-it.com/reference/%E3%83%AF%E3%83%BC%E3%82%AB%E3%83%BC%E4%B8%8A%E3%81%A7%E5%90%8C%E6%9C%9FAPI%E3%82%92%E4%BD%BF%E7%94%A8%E3%81%99%E3%82%8B%E3%81%AB%E3%81%AF%EF%BC%9F</t>
  </si>
  <si>
    <t>並列処理を実現！Web Workersを使いこなそう (1/2)</t>
  </si>
  <si>
    <t>http://www.atmarkit.co.jp/ait/articles/1201/13/news138.html</t>
  </si>
  <si>
    <t>ファイルを同期・非同期で読み込む[FileReaderSync/FileReader]</t>
  </si>
  <si>
    <t>https://www.petitmonte.com/javascript/filereadersync_filereader.html</t>
  </si>
  <si>
    <t>window.postMessage APIの使い方を調べた</t>
  </si>
  <si>
    <t>http://takapi86.hatenablog.com/entry/2017/10/22/184257</t>
    <phoneticPr fontId="1"/>
  </si>
  <si>
    <t>readonly属性</t>
    <phoneticPr fontId="1"/>
  </si>
  <si>
    <t>http://html5.cyberlab.info/elements/forms/input-readonly.html</t>
    <phoneticPr fontId="1"/>
  </si>
  <si>
    <t>JavaScriptを使用したdisplayプロパティの実装メモ</t>
  </si>
  <si>
    <t>https://qiita.com/gogonosmarty/items/e79bef3afe13c10d5f7a</t>
  </si>
  <si>
    <t>JavaScript確認ダイアログを表示する</t>
  </si>
  <si>
    <t>https://www.tagindex.com/javascript/window/confirm.html</t>
  </si>
  <si>
    <t>Enterキーを押すとsubmitされるのを防ぐ</t>
  </si>
  <si>
    <t>https://style01.net/721/</t>
  </si>
  <si>
    <t>JavaScriptで特殊文字（エスケープシーケンス）を使う</t>
  </si>
  <si>
    <t>https://techacademy.jp/magazine/5489</t>
    <phoneticPr fontId="1"/>
  </si>
  <si>
    <t>[PHP]同じ名前のファイルが存在するときは番号（連番）を付ける</t>
    <phoneticPr fontId="1"/>
  </si>
  <si>
    <t>https://php-archive.net/php/filename-numbering-recursive/</t>
    <phoneticPr fontId="1"/>
  </si>
  <si>
    <t>【PHP入門】pathinfo関数を使って拡張子名やファイル名を簡単取得</t>
  </si>
  <si>
    <t>https://www.sejuku.net/blog/50670</t>
    <phoneticPr fontId="1"/>
  </si>
  <si>
    <t>[JavaScript] 要素のidを変更する</t>
  </si>
  <si>
    <t>https://javascript.programmer-reference.com/js-id-change/</t>
  </si>
  <si>
    <t>論理演算子</t>
    <phoneticPr fontId="1"/>
  </si>
  <si>
    <t>【PHP】ファイルパスからファイル名を取得する</t>
  </si>
  <si>
    <t>is_uploaded_file() / move_uploaded_file() の必要性？</t>
  </si>
  <si>
    <t>https://qiita.com/mpyw/items/db12ce86b15f3b0b3c19</t>
    <phoneticPr fontId="1"/>
  </si>
  <si>
    <t>https://www.phpbook.jp/tutorial/if/index4.html</t>
    <phoneticPr fontId="1"/>
  </si>
  <si>
    <t>http://www.openreference.org/articles/view/496</t>
    <phoneticPr fontId="1"/>
  </si>
  <si>
    <t>[JavaScript] 現在日付をYYYY/MM/DD形式の文字列で取得する</t>
  </si>
  <si>
    <t>https://javascript.programmer-reference.com/js-date-format-yyyymmdd/</t>
  </si>
  <si>
    <t>PHPで日付関数を使いこなす（date, strtotime）</t>
  </si>
  <si>
    <t>【PHP】ディレクトリ（フォルダ）の存在を確認し、なければ作成する</t>
  </si>
  <si>
    <t>http://ysklog.net/php/2873.html</t>
    <phoneticPr fontId="1"/>
  </si>
  <si>
    <t>https://qiita.com/shuntaro_tamura/items/b7908e6db527e1543837</t>
    <phoneticPr fontId="1"/>
  </si>
  <si>
    <t>getElementsByName</t>
    <phoneticPr fontId="1"/>
  </si>
  <si>
    <t>https://developer.mozilla.org/ja/docs/Web/API/Document/getElementsByName</t>
    <phoneticPr fontId="1"/>
  </si>
  <si>
    <t>JavaScriptのsplitの使い方</t>
    <phoneticPr fontId="1"/>
  </si>
  <si>
    <t>https://www.sejuku.net/blog/27672</t>
    <phoneticPr fontId="1"/>
  </si>
  <si>
    <t>ラジオボタンの値を取得する方法</t>
    <phoneticPr fontId="1"/>
  </si>
  <si>
    <t>https://lab.syncer.jp/Web/JavaScript/Snippet/30/</t>
    <phoneticPr fontId="1"/>
  </si>
  <si>
    <t>ラジオボタン要素の集合</t>
    <phoneticPr fontId="1"/>
  </si>
  <si>
    <t>https://syncer.jp/Web/API_Interface/Reference/IDL/RadioNodeList/</t>
    <phoneticPr fontId="1"/>
  </si>
  <si>
    <t>serial_number</t>
    <phoneticPr fontId="1"/>
  </si>
  <si>
    <t>Oracle Database 12c の OFFSET / FETCH 句を試す</t>
    <phoneticPr fontId="1"/>
  </si>
  <si>
    <t>https://qiita.com/plusultra/items/add5d997a0ec02a08955</t>
    <phoneticPr fontId="1"/>
  </si>
  <si>
    <t>file_pass</t>
    <phoneticPr fontId="1"/>
  </si>
  <si>
    <t>photo_data/IK/20140701/20140701_001_Unknown.JPG</t>
    <phoneticPr fontId="1"/>
  </si>
  <si>
    <t>photo_data/IK/20140701/thumbnail/thumbnail_20140701_001_Unknown.JPG</t>
    <phoneticPr fontId="1"/>
  </si>
  <si>
    <t>VARCHAR2(100)</t>
    <phoneticPr fontId="1"/>
  </si>
  <si>
    <t>photo_data/IK/20140701/20140701_002_Unknown.JPG</t>
    <phoneticPr fontId="1"/>
  </si>
  <si>
    <t>php.iniでファイルのアップロード可能サイズを設定する</t>
    <phoneticPr fontId="1"/>
  </si>
  <si>
    <t>https://gray-code.com/php/setting-for-file-upload-by-phpini/</t>
    <phoneticPr fontId="1"/>
  </si>
  <si>
    <t>CSSでヘッダーとフッターを常に固定する</t>
    <phoneticPr fontId="1"/>
  </si>
  <si>
    <t>http://webnonotes.com/css/header_footer/</t>
    <phoneticPr fontId="1"/>
  </si>
  <si>
    <t>iphoneで撮った写真の方向をphpで補正する方法</t>
    <phoneticPr fontId="1"/>
  </si>
  <si>
    <t>https://www.glic.co.jp/blog/archives/88</t>
    <phoneticPr fontId="1"/>
  </si>
  <si>
    <t>画像を指定した角度で回転 - imagerotate()</t>
    <phoneticPr fontId="1"/>
  </si>
  <si>
    <t>https://webkaru.net/php/function-imagerotate/</t>
    <phoneticPr fontId="1"/>
  </si>
  <si>
    <t>RGBと16進数カラーコードの相互変換ツール</t>
    <phoneticPr fontId="1"/>
  </si>
  <si>
    <t>https://www.peko-step.com/tool/tfcolor.html</t>
    <phoneticPr fontId="1"/>
  </si>
  <si>
    <t>http://www.htmq.com/css3/rgba.shtml</t>
    <phoneticPr fontId="1"/>
  </si>
  <si>
    <t>rgba() …… RGBAカラーモデルで色を指定する(透過色も可能)</t>
    <rPh sb="28" eb="30">
      <t>トウカ</t>
    </rPh>
    <rPh sb="30" eb="31">
      <t>ショク</t>
    </rPh>
    <rPh sb="32" eb="34">
      <t>カノウ</t>
    </rPh>
    <phoneticPr fontId="1"/>
  </si>
  <si>
    <t>JavaScriptのsetTimeout()のまとめ</t>
    <phoneticPr fontId="1"/>
  </si>
  <si>
    <t>http://www.koikikukan.com/archives/2012/08/22-015555.php</t>
    <phoneticPr fontId="1"/>
  </si>
  <si>
    <t>完了</t>
    <rPh sb="0" eb="2">
      <t>カンリョウ</t>
    </rPh>
    <phoneticPr fontId="1"/>
  </si>
  <si>
    <t>10/05に完了</t>
    <rPh sb="6" eb="8">
      <t>カンリョウ</t>
    </rPh>
    <phoneticPr fontId="1"/>
  </si>
  <si>
    <t>cssで縦横（上下左右）中央にテキストを配置</t>
    <phoneticPr fontId="1"/>
  </si>
  <si>
    <t>https://memorocchi.net/hpcss-tateyokochuou/</t>
    <phoneticPr fontId="1"/>
  </si>
  <si>
    <t>http://web-dou.com/css/etc_link.html</t>
    <phoneticPr fontId="1"/>
  </si>
  <si>
    <t>リンク(Aタグ)をCSSで設定する(背景・下線・文字サイズなど)</t>
    <phoneticPr fontId="1"/>
  </si>
  <si>
    <t>リンクテキストの下線を消す</t>
    <phoneticPr fontId="1"/>
  </si>
  <si>
    <t>https://www.tagindex.com/stylesheet/link/text_decoration.html</t>
    <phoneticPr fontId="1"/>
  </si>
  <si>
    <t>http://serinaishii.hatenablog.com/entry/2015/09/30/Copyright%28%E3%82%B3%E3%83%94%E3%83%BC%E3%83%A9%E3%82%A4%E3%83%88%EF%BC%9A%E8%91%97%E4%BD%9C%E6%A8%A9%E8%A1%A8%E7%A4%BA%29%E3%81%AE%E6%AD%A3%E3%81%97%E3%81%84%E6%9B%B8%E3%81%8D%E6%96%B9%E3%82%92</t>
    <phoneticPr fontId="1"/>
  </si>
  <si>
    <t>Copyright(コピーライト：著作権表示)の正しい書き方を知っていますか？</t>
    <phoneticPr fontId="1"/>
  </si>
  <si>
    <t>CSSで中央寄せする9つの方法（縦・横にセンタリング）</t>
    <phoneticPr fontId="1"/>
  </si>
  <si>
    <t>https://saruwakakun.com/html-css/basic/centering</t>
    <phoneticPr fontId="1"/>
  </si>
  <si>
    <t>スタイルシートで親要素の最下部に配置する（下寄せ）方法</t>
    <phoneticPr fontId="1"/>
  </si>
  <si>
    <t>https://centosinstall.com/design/css/abusolute-bottom</t>
    <phoneticPr fontId="1"/>
  </si>
  <si>
    <t>角丸をまとめて指定する</t>
    <phoneticPr fontId="1"/>
  </si>
  <si>
    <t>http://www.htmq.com/css3/border-radius.shtml</t>
  </si>
  <si>
    <t>input要素がiPhoneで指定してないのに角丸になってしまて困った</t>
    <phoneticPr fontId="1"/>
  </si>
  <si>
    <t>https://qiita.com/39_isao/items/172c7318c641a8fa80ef</t>
    <phoneticPr fontId="1"/>
  </si>
  <si>
    <t>完了</t>
    <rPh sb="0" eb="2">
      <t>カンリョウ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</si>
</sst>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mm/dd\(aaa\)"/>
    <numFmt numFmtId="177" formatCode="dd\(aaa\)"/>
  </numFmts>
  <fonts count="10">
    <font>
      <sz val="11"/>
      <color theme="1"/>
      <name val="ＭＳ Ｐゴシック"/>
      <family val="2"/>
      <charset val="128"/>
      <scheme val="minor"/>
    </font>
    <font>
      <sz val="6"/>
      <name val="ＭＳ Ｐゴシック"/>
      <family val="2"/>
      <charset val="128"/>
      <scheme val="minor"/>
    </font>
    <font>
      <b/>
      <sz val="20"/>
      <color theme="1"/>
      <name val="ＭＳ Ｐゴシック"/>
      <family val="3"/>
      <charset val="128"/>
      <scheme val="minor"/>
    </font>
    <font>
      <sz val="11"/>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b/>
      <sz val="9"/>
      <color indexed="81"/>
      <name val="ＭＳ Ｐゴシック"/>
      <family val="3"/>
      <charset val="128"/>
    </font>
    <font>
      <b/>
      <sz val="11"/>
      <color theme="1"/>
      <name val="ＭＳ Ｐゴシック"/>
      <family val="3"/>
      <charset val="128"/>
      <scheme val="minor"/>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00CCFF"/>
        <bgColor indexed="64"/>
      </patternFill>
    </fill>
    <fill>
      <patternFill patternType="solid">
        <fgColor theme="1" tint="0.499984740745262"/>
        <bgColor indexed="64"/>
      </patternFill>
    </fill>
    <fill>
      <patternFill patternType="solid">
        <fgColor theme="9"/>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s>
  <borders count="66">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medium">
        <color auto="1"/>
      </bottom>
      <diagonal/>
    </border>
    <border>
      <left/>
      <right/>
      <top style="thin">
        <color indexed="64"/>
      </top>
      <bottom style="medium">
        <color auto="1"/>
      </bottom>
      <diagonal/>
    </border>
    <border>
      <left/>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style="thin">
        <color indexed="64"/>
      </bottom>
      <diagonal/>
    </border>
    <border>
      <left style="medium">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medium">
        <color indexed="64"/>
      </right>
      <top style="thin">
        <color indexed="64"/>
      </top>
      <bottom style="thin">
        <color indexed="64"/>
      </bottom>
      <diagonal/>
    </border>
    <border>
      <left style="medium">
        <color indexed="64"/>
      </left>
      <right style="dotted">
        <color indexed="64"/>
      </right>
      <top style="thin">
        <color indexed="64"/>
      </top>
      <bottom/>
      <diagonal/>
    </border>
    <border>
      <left style="dotted">
        <color indexed="64"/>
      </left>
      <right style="dotted">
        <color indexed="64"/>
      </right>
      <top style="thin">
        <color indexed="64"/>
      </top>
      <bottom/>
      <diagonal/>
    </border>
    <border>
      <left style="dotted">
        <color indexed="64"/>
      </left>
      <right style="medium">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dotted">
        <color indexed="64"/>
      </left>
      <right style="dotted">
        <color indexed="64"/>
      </right>
      <top/>
      <bottom style="thin">
        <color indexed="64"/>
      </bottom>
      <diagonal/>
    </border>
    <border>
      <left style="dotted">
        <color indexed="64"/>
      </left>
      <right style="medium">
        <color indexed="64"/>
      </right>
      <top/>
      <bottom style="thin">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dotted">
        <color indexed="64"/>
      </left>
      <right style="dotted">
        <color indexed="64"/>
      </right>
      <top style="medium">
        <color indexed="64"/>
      </top>
      <bottom/>
      <diagonal/>
    </border>
    <border>
      <left/>
      <right style="medium">
        <color indexed="64"/>
      </right>
      <top style="thin">
        <color indexed="64"/>
      </top>
      <bottom style="medium">
        <color indexed="64"/>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134">
    <xf numFmtId="0" fontId="0" fillId="0" borderId="0" xfId="0">
      <alignment vertical="center"/>
    </xf>
    <xf numFmtId="0" fontId="2" fillId="0" borderId="0" xfId="0" applyFont="1">
      <alignment vertical="center"/>
    </xf>
    <xf numFmtId="0" fontId="0" fillId="0" borderId="3" xfId="0" applyBorder="1">
      <alignment vertical="center"/>
    </xf>
    <xf numFmtId="0" fontId="0" fillId="0" borderId="4" xfId="0" applyBorder="1">
      <alignment vertical="center"/>
    </xf>
    <xf numFmtId="0" fontId="0" fillId="0" borderId="8" xfId="0" applyBorder="1">
      <alignment vertical="center"/>
    </xf>
    <xf numFmtId="0" fontId="0" fillId="2" borderId="6" xfId="0" applyFill="1" applyBorder="1">
      <alignment vertical="center"/>
    </xf>
    <xf numFmtId="0" fontId="0" fillId="2" borderId="7" xfId="0" applyFill="1" applyBorder="1">
      <alignment vertical="center"/>
    </xf>
    <xf numFmtId="0" fontId="0" fillId="2" borderId="0" xfId="0" applyFill="1" applyBorder="1">
      <alignment vertical="center"/>
    </xf>
    <xf numFmtId="0" fontId="0" fillId="2" borderId="10" xfId="0" applyFill="1" applyBorder="1">
      <alignment vertical="center"/>
    </xf>
    <xf numFmtId="0" fontId="0" fillId="2" borderId="11" xfId="0" applyFill="1" applyBorder="1">
      <alignment vertical="center"/>
    </xf>
    <xf numFmtId="0" fontId="0" fillId="2" borderId="12" xfId="0" applyFill="1" applyBorder="1">
      <alignment vertical="center"/>
    </xf>
    <xf numFmtId="0" fontId="0" fillId="2" borderId="13" xfId="0" applyFill="1" applyBorder="1">
      <alignment vertical="center"/>
    </xf>
    <xf numFmtId="0" fontId="0" fillId="2" borderId="14" xfId="0" applyFill="1" applyBorder="1">
      <alignment vertical="center"/>
    </xf>
    <xf numFmtId="0" fontId="0" fillId="2" borderId="15" xfId="0" applyFill="1" applyBorder="1">
      <alignment vertical="center"/>
    </xf>
    <xf numFmtId="0" fontId="0" fillId="2" borderId="17" xfId="0" applyFill="1" applyBorder="1">
      <alignment vertical="center"/>
    </xf>
    <xf numFmtId="0" fontId="0" fillId="2" borderId="18" xfId="0" applyFill="1" applyBorder="1">
      <alignment vertical="center"/>
    </xf>
    <xf numFmtId="0" fontId="0" fillId="2" borderId="19" xfId="0" applyFill="1" applyBorder="1">
      <alignment vertical="center"/>
    </xf>
    <xf numFmtId="0" fontId="0" fillId="2" borderId="20" xfId="0" applyFill="1" applyBorder="1">
      <alignment vertical="center"/>
    </xf>
    <xf numFmtId="0" fontId="0" fillId="2" borderId="23" xfId="0" applyFill="1" applyBorder="1">
      <alignment vertical="center"/>
    </xf>
    <xf numFmtId="0" fontId="0" fillId="2" borderId="2" xfId="0" applyFill="1" applyBorder="1">
      <alignment vertical="center"/>
    </xf>
    <xf numFmtId="0" fontId="0" fillId="2" borderId="21" xfId="0" applyFill="1" applyBorder="1">
      <alignment vertical="center"/>
    </xf>
    <xf numFmtId="0" fontId="0" fillId="2" borderId="24" xfId="0" applyFill="1" applyBorder="1">
      <alignment vertical="center"/>
    </xf>
    <xf numFmtId="0" fontId="0" fillId="2" borderId="22" xfId="0" applyFill="1" applyBorder="1">
      <alignment vertical="center"/>
    </xf>
    <xf numFmtId="0" fontId="0" fillId="3" borderId="30" xfId="0" applyFill="1" applyBorder="1">
      <alignment vertical="center"/>
    </xf>
    <xf numFmtId="0" fontId="0" fillId="4" borderId="26" xfId="0" applyFill="1" applyBorder="1">
      <alignment vertical="center"/>
    </xf>
    <xf numFmtId="0" fontId="0" fillId="4" borderId="27" xfId="0" applyFill="1" applyBorder="1">
      <alignment vertical="center"/>
    </xf>
    <xf numFmtId="0" fontId="0" fillId="4" borderId="28" xfId="0" applyFill="1" applyBorder="1">
      <alignment vertical="center"/>
    </xf>
    <xf numFmtId="0" fontId="0" fillId="4" borderId="29" xfId="0" applyFill="1" applyBorder="1">
      <alignment vertical="center"/>
    </xf>
    <xf numFmtId="0" fontId="0" fillId="4" borderId="30" xfId="0" applyFill="1" applyBorder="1">
      <alignment vertical="center"/>
    </xf>
    <xf numFmtId="0" fontId="0" fillId="4" borderId="31" xfId="0" applyFill="1" applyBorder="1">
      <alignment vertical="center"/>
    </xf>
    <xf numFmtId="0" fontId="2" fillId="0" borderId="0" xfId="0" applyFont="1" applyFill="1">
      <alignment vertical="center"/>
    </xf>
    <xf numFmtId="0" fontId="0" fillId="0" borderId="0" xfId="0" applyFill="1">
      <alignment vertical="center"/>
    </xf>
    <xf numFmtId="14" fontId="0" fillId="0" borderId="5" xfId="0" applyNumberFormat="1" applyFill="1" applyBorder="1">
      <alignment vertical="center"/>
    </xf>
    <xf numFmtId="176" fontId="0" fillId="0" borderId="0" xfId="0" applyNumberFormat="1" applyFill="1">
      <alignment vertical="center"/>
    </xf>
    <xf numFmtId="0" fontId="0" fillId="0" borderId="29" xfId="0" applyFill="1" applyBorder="1">
      <alignment vertical="center"/>
    </xf>
    <xf numFmtId="0" fontId="0" fillId="0" borderId="30" xfId="0" applyFill="1" applyBorder="1">
      <alignment vertical="center"/>
    </xf>
    <xf numFmtId="0" fontId="0" fillId="0" borderId="31" xfId="0" applyFill="1" applyBorder="1">
      <alignment vertical="center"/>
    </xf>
    <xf numFmtId="0" fontId="0" fillId="0" borderId="33" xfId="0" applyFill="1" applyBorder="1">
      <alignment vertical="center"/>
    </xf>
    <xf numFmtId="0" fontId="0" fillId="0" borderId="34" xfId="0" applyFill="1" applyBorder="1">
      <alignment vertical="center"/>
    </xf>
    <xf numFmtId="0" fontId="0" fillId="4" borderId="32" xfId="0" applyFill="1" applyBorder="1">
      <alignment vertical="center"/>
    </xf>
    <xf numFmtId="0" fontId="0" fillId="2" borderId="35" xfId="0" applyFill="1" applyBorder="1">
      <alignment vertical="center"/>
    </xf>
    <xf numFmtId="0" fontId="0" fillId="0" borderId="25" xfId="0" applyBorder="1">
      <alignment vertical="center"/>
    </xf>
    <xf numFmtId="0" fontId="0" fillId="5" borderId="27" xfId="0" applyFill="1" applyBorder="1">
      <alignment vertical="center"/>
    </xf>
    <xf numFmtId="0" fontId="0" fillId="5" borderId="30" xfId="0" applyFill="1" applyBorder="1">
      <alignment vertical="center"/>
    </xf>
    <xf numFmtId="0" fontId="0" fillId="4" borderId="37" xfId="0" applyFill="1" applyBorder="1">
      <alignment vertical="center"/>
    </xf>
    <xf numFmtId="0" fontId="0" fillId="4" borderId="38"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29" xfId="0" applyFill="1" applyBorder="1">
      <alignment vertical="center"/>
    </xf>
    <xf numFmtId="0" fontId="0" fillId="5" borderId="31" xfId="0" applyFill="1" applyBorder="1">
      <alignment vertical="center"/>
    </xf>
    <xf numFmtId="176" fontId="0" fillId="6" borderId="8" xfId="0" applyNumberFormat="1" applyFill="1" applyBorder="1">
      <alignment vertical="center"/>
    </xf>
    <xf numFmtId="0" fontId="0" fillId="3" borderId="37" xfId="0" applyFill="1" applyBorder="1">
      <alignment vertical="center"/>
    </xf>
    <xf numFmtId="0" fontId="0" fillId="3" borderId="41" xfId="0" applyFill="1" applyBorder="1">
      <alignment vertical="center"/>
    </xf>
    <xf numFmtId="0" fontId="0" fillId="7" borderId="37" xfId="0" applyFill="1" applyBorder="1">
      <alignment vertical="center"/>
    </xf>
    <xf numFmtId="0" fontId="0" fillId="7" borderId="37" xfId="0" applyFill="1" applyBorder="1" applyAlignment="1">
      <alignment horizontal="right"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7" borderId="30" xfId="0" applyFill="1" applyBorder="1" applyAlignment="1">
      <alignment horizontal="right" vertical="center"/>
    </xf>
    <xf numFmtId="0" fontId="3" fillId="0" borderId="30" xfId="0" applyFont="1" applyFill="1" applyBorder="1" applyAlignment="1">
      <alignment horizontal="right" vertical="center"/>
    </xf>
    <xf numFmtId="0" fontId="0" fillId="3" borderId="5" xfId="0" applyFill="1" applyBorder="1">
      <alignment vertical="center"/>
    </xf>
    <xf numFmtId="0" fontId="0" fillId="3" borderId="8" xfId="0" applyFill="1" applyBorder="1">
      <alignment vertical="center"/>
    </xf>
    <xf numFmtId="0" fontId="0" fillId="3" borderId="25" xfId="0" applyFill="1" applyBorder="1">
      <alignment vertical="center"/>
    </xf>
    <xf numFmtId="0" fontId="0" fillId="9" borderId="44" xfId="0" applyFill="1" applyBorder="1">
      <alignment vertical="center"/>
    </xf>
    <xf numFmtId="0" fontId="0" fillId="9" borderId="14" xfId="0" applyFill="1" applyBorder="1">
      <alignment vertical="center"/>
    </xf>
    <xf numFmtId="0" fontId="0" fillId="9" borderId="9" xfId="0" applyFill="1" applyBorder="1">
      <alignment vertical="center"/>
    </xf>
    <xf numFmtId="0" fontId="0" fillId="9" borderId="42" xfId="0" applyFill="1" applyBorder="1">
      <alignment vertical="center"/>
    </xf>
    <xf numFmtId="0" fontId="0" fillId="9" borderId="18" xfId="0" applyFill="1" applyBorder="1">
      <alignment vertical="center"/>
    </xf>
    <xf numFmtId="0" fontId="0" fillId="9" borderId="16" xfId="0" applyFill="1" applyBorder="1">
      <alignment vertical="center"/>
    </xf>
    <xf numFmtId="0" fontId="3" fillId="8" borderId="42" xfId="0" applyFont="1" applyFill="1" applyBorder="1">
      <alignment vertical="center"/>
    </xf>
    <xf numFmtId="0" fontId="4" fillId="8" borderId="18" xfId="0" applyFont="1" applyFill="1" applyBorder="1">
      <alignment vertical="center"/>
    </xf>
    <xf numFmtId="0" fontId="4" fillId="8" borderId="16" xfId="0" applyFont="1" applyFill="1" applyBorder="1">
      <alignment vertical="center"/>
    </xf>
    <xf numFmtId="0" fontId="4" fillId="8" borderId="42" xfId="0" applyFont="1" applyFill="1" applyBorder="1">
      <alignment vertical="center"/>
    </xf>
    <xf numFmtId="0" fontId="0" fillId="10" borderId="42" xfId="0" applyFill="1" applyBorder="1">
      <alignment vertical="center"/>
    </xf>
    <xf numFmtId="0" fontId="0" fillId="10" borderId="18" xfId="0" applyFill="1" applyBorder="1">
      <alignment vertical="center"/>
    </xf>
    <xf numFmtId="0" fontId="0" fillId="10" borderId="16" xfId="0" applyFill="1" applyBorder="1">
      <alignment vertical="center"/>
    </xf>
    <xf numFmtId="0" fontId="0" fillId="10" borderId="21" xfId="0" applyFill="1" applyBorder="1">
      <alignment vertical="center"/>
    </xf>
    <xf numFmtId="0" fontId="0" fillId="10" borderId="36" xfId="0" applyFill="1" applyBorder="1">
      <alignment vertical="center"/>
    </xf>
    <xf numFmtId="177" fontId="0" fillId="6" borderId="8" xfId="0" applyNumberFormat="1" applyFill="1" applyBorder="1">
      <alignment vertical="center"/>
    </xf>
    <xf numFmtId="0" fontId="0" fillId="7" borderId="30" xfId="0" applyFill="1" applyBorder="1">
      <alignment vertical="center"/>
    </xf>
    <xf numFmtId="0" fontId="0" fillId="0" borderId="0" xfId="0" applyFill="1" applyBorder="1">
      <alignment vertical="center"/>
    </xf>
    <xf numFmtId="0" fontId="0" fillId="0" borderId="14" xfId="0" applyBorder="1">
      <alignment vertical="center"/>
    </xf>
    <xf numFmtId="0" fontId="0" fillId="0" borderId="44" xfId="0" applyBorder="1">
      <alignment vertical="center"/>
    </xf>
    <xf numFmtId="0" fontId="0" fillId="0" borderId="9" xfId="0" applyBorder="1" applyAlignment="1">
      <alignment vertical="center" wrapText="1"/>
    </xf>
    <xf numFmtId="0" fontId="0" fillId="3" borderId="18" xfId="0" applyFill="1" applyBorder="1">
      <alignment vertical="center"/>
    </xf>
    <xf numFmtId="0" fontId="0" fillId="2" borderId="45" xfId="0" applyFill="1" applyBorder="1">
      <alignment vertical="center"/>
    </xf>
    <xf numFmtId="0" fontId="0" fillId="2" borderId="55" xfId="0" applyFill="1" applyBorder="1">
      <alignment vertical="center"/>
    </xf>
    <xf numFmtId="0" fontId="0" fillId="2" borderId="56" xfId="0" applyFill="1" applyBorder="1">
      <alignment vertical="center"/>
    </xf>
    <xf numFmtId="0" fontId="0" fillId="2" borderId="46" xfId="0" applyFill="1" applyBorder="1">
      <alignment vertical="center"/>
    </xf>
    <xf numFmtId="0" fontId="0" fillId="2" borderId="47" xfId="0" applyFill="1" applyBorder="1">
      <alignment vertical="center"/>
    </xf>
    <xf numFmtId="0" fontId="0" fillId="2" borderId="1" xfId="0" applyFill="1" applyBorder="1">
      <alignment vertical="center"/>
    </xf>
    <xf numFmtId="0" fontId="0" fillId="2" borderId="54" xfId="0" applyFill="1" applyBorder="1">
      <alignment vertical="center"/>
    </xf>
    <xf numFmtId="0" fontId="0" fillId="2" borderId="53" xfId="0" applyFill="1" applyBorder="1">
      <alignment vertical="center"/>
    </xf>
    <xf numFmtId="0" fontId="0" fillId="2" borderId="57" xfId="0" applyFill="1" applyBorder="1">
      <alignment vertical="center"/>
    </xf>
    <xf numFmtId="0" fontId="0" fillId="2" borderId="58" xfId="0" applyFill="1" applyBorder="1">
      <alignment vertical="center"/>
    </xf>
    <xf numFmtId="0" fontId="0" fillId="2" borderId="59" xfId="0" applyFill="1" applyBorder="1">
      <alignment vertical="center"/>
    </xf>
    <xf numFmtId="0" fontId="0" fillId="2" borderId="48" xfId="0" applyFill="1" applyBorder="1">
      <alignment vertical="center"/>
    </xf>
    <xf numFmtId="0" fontId="0" fillId="2" borderId="52" xfId="0" applyFill="1" applyBorder="1">
      <alignment vertical="center"/>
    </xf>
    <xf numFmtId="0" fontId="0" fillId="2" borderId="49" xfId="0" applyFill="1" applyBorder="1">
      <alignment vertical="center"/>
    </xf>
    <xf numFmtId="0" fontId="0" fillId="2" borderId="50" xfId="0" applyFill="1" applyBorder="1">
      <alignment vertical="center"/>
    </xf>
    <xf numFmtId="0" fontId="0" fillId="2" borderId="51" xfId="0" applyFill="1" applyBorder="1">
      <alignment vertical="center"/>
    </xf>
    <xf numFmtId="0" fontId="5" fillId="2" borderId="10" xfId="0" applyFont="1" applyFill="1" applyBorder="1">
      <alignment vertical="center"/>
    </xf>
    <xf numFmtId="49" fontId="0" fillId="0" borderId="0" xfId="0" applyNumberFormat="1">
      <alignment vertical="center"/>
    </xf>
    <xf numFmtId="0" fontId="0" fillId="2" borderId="5" xfId="0" applyFill="1" applyBorder="1">
      <alignment vertical="center"/>
    </xf>
    <xf numFmtId="9" fontId="0" fillId="0" borderId="60" xfId="0" applyNumberFormat="1" applyBorder="1" applyAlignment="1">
      <alignment horizontal="center" vertical="center"/>
    </xf>
    <xf numFmtId="0" fontId="0" fillId="8" borderId="42" xfId="0" applyFill="1" applyBorder="1">
      <alignment vertical="center"/>
    </xf>
    <xf numFmtId="0" fontId="0" fillId="8" borderId="18" xfId="0" applyFill="1" applyBorder="1">
      <alignment vertical="center"/>
    </xf>
    <xf numFmtId="0" fontId="0" fillId="6" borderId="13" xfId="0" applyFill="1" applyBorder="1">
      <alignment vertical="center"/>
    </xf>
    <xf numFmtId="0" fontId="0" fillId="6" borderId="0" xfId="0" applyFill="1" applyBorder="1">
      <alignment vertical="center"/>
    </xf>
    <xf numFmtId="0" fontId="0" fillId="6" borderId="48" xfId="0" applyFill="1" applyBorder="1">
      <alignment vertical="center"/>
    </xf>
    <xf numFmtId="0" fontId="5" fillId="6" borderId="13" xfId="0" applyFont="1" applyFill="1" applyBorder="1">
      <alignment vertical="center"/>
    </xf>
    <xf numFmtId="0" fontId="0" fillId="10" borderId="61" xfId="0" applyFill="1" applyBorder="1">
      <alignment vertical="center"/>
    </xf>
    <xf numFmtId="0" fontId="0" fillId="10" borderId="19" xfId="0" applyFill="1" applyBorder="1">
      <alignment vertical="center"/>
    </xf>
    <xf numFmtId="0" fontId="0" fillId="10" borderId="62" xfId="0" applyFill="1" applyBorder="1">
      <alignment vertical="center"/>
    </xf>
    <xf numFmtId="0" fontId="0" fillId="0" borderId="43" xfId="0" applyBorder="1">
      <alignment vertical="center"/>
    </xf>
    <xf numFmtId="0" fontId="0" fillId="0" borderId="21" xfId="0" applyBorder="1">
      <alignment vertical="center"/>
    </xf>
    <xf numFmtId="0" fontId="0" fillId="0" borderId="36" xfId="0" applyBorder="1">
      <alignment vertical="center"/>
    </xf>
    <xf numFmtId="0" fontId="3" fillId="7" borderId="30" xfId="0" applyFont="1" applyFill="1" applyBorder="1">
      <alignment vertical="center"/>
    </xf>
    <xf numFmtId="0" fontId="6" fillId="0" borderId="0" xfId="1">
      <alignment vertical="center"/>
    </xf>
    <xf numFmtId="0" fontId="0" fillId="11" borderId="30" xfId="0" applyFill="1" applyBorder="1" applyAlignment="1">
      <alignment horizontal="right" vertical="center"/>
    </xf>
    <xf numFmtId="0" fontId="9" fillId="0" borderId="0" xfId="0" applyFont="1">
      <alignment vertical="center"/>
    </xf>
    <xf numFmtId="14" fontId="0" fillId="0" borderId="63" xfId="0" applyNumberFormat="1" applyFill="1" applyBorder="1">
      <alignment vertical="center"/>
    </xf>
    <xf numFmtId="0" fontId="0" fillId="0" borderId="0" xfId="0" applyAlignment="1">
      <alignment vertical="center" wrapText="1"/>
    </xf>
    <xf numFmtId="0" fontId="0" fillId="2" borderId="65" xfId="0" applyFill="1" applyBorder="1">
      <alignment vertical="center"/>
    </xf>
    <xf numFmtId="0" fontId="0" fillId="2" borderId="30" xfId="0" applyFill="1" applyBorder="1">
      <alignment vertical="center"/>
    </xf>
    <xf numFmtId="0" fontId="6" fillId="0" borderId="0" xfId="1" applyAlignment="1">
      <alignment vertical="center"/>
    </xf>
    <xf numFmtId="0" fontId="0" fillId="11" borderId="31" xfId="0" applyFill="1" applyBorder="1" applyAlignment="1">
      <alignment horizontal="right" vertical="center"/>
    </xf>
    <xf numFmtId="177" fontId="0" fillId="6" borderId="25" xfId="0" applyNumberFormat="1" applyFill="1" applyBorder="1">
      <alignment vertical="center"/>
    </xf>
    <xf numFmtId="0" fontId="0" fillId="3" borderId="33" xfId="0" applyFill="1" applyBorder="1" applyAlignment="1">
      <alignment horizontal="center" vertical="center"/>
    </xf>
    <xf numFmtId="0" fontId="0" fillId="3" borderId="40" xfId="0" applyFill="1" applyBorder="1" applyAlignment="1">
      <alignment horizontal="center" vertical="center"/>
    </xf>
    <xf numFmtId="0" fontId="0" fillId="4" borderId="33" xfId="0" applyFill="1" applyBorder="1" applyAlignment="1">
      <alignment horizontal="center" vertical="center"/>
    </xf>
    <xf numFmtId="0" fontId="0" fillId="4" borderId="37" xfId="0" applyFill="1" applyBorder="1" applyAlignment="1">
      <alignment horizontal="center" vertical="center"/>
    </xf>
    <xf numFmtId="0" fontId="0" fillId="0" borderId="33" xfId="0" applyFill="1" applyBorder="1" applyAlignment="1">
      <alignment horizontal="center" vertical="center"/>
    </xf>
    <xf numFmtId="0" fontId="0" fillId="0" borderId="37" xfId="0" applyFill="1" applyBorder="1" applyAlignment="1">
      <alignment horizontal="center" vertical="center"/>
    </xf>
    <xf numFmtId="0" fontId="0" fillId="4" borderId="64"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2" defaultPivotStyle="PivotStyleLight16"/>
  <colors>
    <mruColors>
      <color rgb="FF00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s://www.sejuku.net/blog/22784" TargetMode="External"/><Relationship Id="rId117" Type="http://schemas.openxmlformats.org/officeDocument/2006/relationships/hyperlink" Target="https://www.sejuku.net/blog/25583" TargetMode="External"/><Relationship Id="rId21" Type="http://schemas.openxmlformats.org/officeDocument/2006/relationships/hyperlink" Target="http://wepicks.net/phpref-moziretsuatsukai/" TargetMode="External"/><Relationship Id="rId42" Type="http://schemas.openxmlformats.org/officeDocument/2006/relationships/hyperlink" Target="http://iklabo.net/2016/01/%E6%9C%AA%E5%88%86%E9%A1%9E/post-198/" TargetMode="External"/><Relationship Id="rId47" Type="http://schemas.openxmlformats.org/officeDocument/2006/relationships/hyperlink" Target="http://bashalog.c-brains.jp/18/04/19-180000.php" TargetMode="External"/><Relationship Id="rId63" Type="http://schemas.openxmlformats.org/officeDocument/2006/relationships/hyperlink" Target="https://blog.codecamp.jp/javascript-array" TargetMode="External"/><Relationship Id="rId68" Type="http://schemas.openxmlformats.org/officeDocument/2006/relationships/hyperlink" Target="https://dekiru.net/article/12951/" TargetMode="External"/><Relationship Id="rId84" Type="http://schemas.openxmlformats.org/officeDocument/2006/relationships/hyperlink" Target="https://glatchdesign.com/blog/web/javascript/700" TargetMode="External"/><Relationship Id="rId89" Type="http://schemas.openxmlformats.org/officeDocument/2006/relationships/hyperlink" Target="https://www.sejuku.net/blog/22120/" TargetMode="External"/><Relationship Id="rId112" Type="http://schemas.openxmlformats.org/officeDocument/2006/relationships/hyperlink" Target="https://www.webdlab.com/html/form-option/" TargetMode="External"/><Relationship Id="rId133" Type="http://schemas.openxmlformats.org/officeDocument/2006/relationships/hyperlink" Target="https://uxmilk.jp/14317" TargetMode="External"/><Relationship Id="rId138" Type="http://schemas.openxmlformats.org/officeDocument/2006/relationships/hyperlink" Target="https://www.cresco.co.jp/blog/entry/710/" TargetMode="External"/><Relationship Id="rId154" Type="http://schemas.openxmlformats.org/officeDocument/2006/relationships/hyperlink" Target="http://www.openreference.org/articles/view/496" TargetMode="External"/><Relationship Id="rId159" Type="http://schemas.openxmlformats.org/officeDocument/2006/relationships/hyperlink" Target="https://lab.syncer.jp/Web/JavaScript/Snippet/30/" TargetMode="External"/><Relationship Id="rId175" Type="http://schemas.openxmlformats.org/officeDocument/2006/relationships/hyperlink" Target="https://qiita.com/39_isao/items/172c7318c641a8fa80ef" TargetMode="External"/><Relationship Id="rId170" Type="http://schemas.openxmlformats.org/officeDocument/2006/relationships/hyperlink" Target="http://web-dou.com/css/etc_link.html" TargetMode="External"/><Relationship Id="rId16" Type="http://schemas.openxmlformats.org/officeDocument/2006/relationships/hyperlink" Target="https://dekiru.net/article/12958/" TargetMode="External"/><Relationship Id="rId107" Type="http://schemas.openxmlformats.org/officeDocument/2006/relationships/hyperlink" Target="https://www.sejuku.net/blog/46739" TargetMode="External"/><Relationship Id="rId11" Type="http://schemas.openxmlformats.org/officeDocument/2006/relationships/hyperlink" Target="https://qiita.com/gooddoog/items/f37f3d3f0081b5b39e05" TargetMode="External"/><Relationship Id="rId32" Type="http://schemas.openxmlformats.org/officeDocument/2006/relationships/hyperlink" Target="https://9-bb.com/css%E3%81%A0%E3%81%91%E3%81%A7%E3%83%A1%E3%83%8B%E3%83%A5%E3%83%BC%E3%81%8C%E9%96%8B%E3%81%84%E3%81%9F%E3%82%8A%E9%96%89%E3%81%98%E3%81%9F%E3%82%8A%E3%81%99%E3%82%8B%E3%82%A2%E3%82%B3%E3%83%BC/" TargetMode="External"/><Relationship Id="rId37" Type="http://schemas.openxmlformats.org/officeDocument/2006/relationships/hyperlink" Target="https://freefielder.jp/blog/2012/02/iphone-safari-checkbox.html" TargetMode="External"/><Relationship Id="rId53" Type="http://schemas.openxmlformats.org/officeDocument/2006/relationships/hyperlink" Target="https://blog.codecamp.jp/php-floor-ceil-round" TargetMode="External"/><Relationship Id="rId58" Type="http://schemas.openxmlformats.org/officeDocument/2006/relationships/hyperlink" Target="https://techacademy.jp/magazine/4955" TargetMode="External"/><Relationship Id="rId74" Type="http://schemas.openxmlformats.org/officeDocument/2006/relationships/hyperlink" Target="https://lab.syncer.jp/Web/JavaScript/Snippet/76/" TargetMode="External"/><Relationship Id="rId79" Type="http://schemas.openxmlformats.org/officeDocument/2006/relationships/hyperlink" Target="https://teratail.com/questions/70084" TargetMode="External"/><Relationship Id="rId102" Type="http://schemas.openxmlformats.org/officeDocument/2006/relationships/hyperlink" Target="https://www.tagindex.com/html_tag/form/input_radio.html" TargetMode="External"/><Relationship Id="rId123" Type="http://schemas.openxmlformats.org/officeDocument/2006/relationships/hyperlink" Target="http://www.24w.jp/study_contents.php?bid=php&amp;iid=php&amp;sid=date&amp;cid=001" TargetMode="External"/><Relationship Id="rId128" Type="http://schemas.openxmlformats.org/officeDocument/2006/relationships/hyperlink" Target="http://alphasis.info/javascript/dom/input_type_image_object/" TargetMode="External"/><Relationship Id="rId144" Type="http://schemas.openxmlformats.org/officeDocument/2006/relationships/hyperlink" Target="https://qiita.com/yuwaita/items/22a296bdf1898acbd70f" TargetMode="External"/><Relationship Id="rId149" Type="http://schemas.openxmlformats.org/officeDocument/2006/relationships/hyperlink" Target="https://techacademy.jp/magazine/5489" TargetMode="External"/><Relationship Id="rId5" Type="http://schemas.openxmlformats.org/officeDocument/2006/relationships/hyperlink" Target="http://lifelog.hpmeister.com/act/arrow+size.html" TargetMode="External"/><Relationship Id="rId90" Type="http://schemas.openxmlformats.org/officeDocument/2006/relationships/hyperlink" Target="http://www.recipi.jp/8314" TargetMode="External"/><Relationship Id="rId95" Type="http://schemas.openxmlformats.org/officeDocument/2006/relationships/hyperlink" Target="http://www.phppro.jp/phpmanual/php/function.oci-execute.html" TargetMode="External"/><Relationship Id="rId160" Type="http://schemas.openxmlformats.org/officeDocument/2006/relationships/hyperlink" Target="https://syncer.jp/Web/API_Interface/Reference/IDL/RadioNodeList/" TargetMode="External"/><Relationship Id="rId165" Type="http://schemas.openxmlformats.org/officeDocument/2006/relationships/hyperlink" Target="https://webkaru.net/php/function-imagerotate/" TargetMode="External"/><Relationship Id="rId22" Type="http://schemas.openxmlformats.org/officeDocument/2006/relationships/hyperlink" Target="https://www.flatflag.nir87.com/arr-375" TargetMode="External"/><Relationship Id="rId27" Type="http://schemas.openxmlformats.org/officeDocument/2006/relationships/hyperlink" Target="http://sozai.akuseru-design.com/css-sample-0/" TargetMode="External"/><Relationship Id="rId43" Type="http://schemas.openxmlformats.org/officeDocument/2006/relationships/hyperlink" Target="http://kihon-no-ki.com/remove-number-of-characters-from-string" TargetMode="External"/><Relationship Id="rId48" Type="http://schemas.openxmlformats.org/officeDocument/2006/relationships/hyperlink" Target="https://nori-life.com/javascript-canvas-exif-adjust/" TargetMode="External"/><Relationship Id="rId64" Type="http://schemas.openxmlformats.org/officeDocument/2006/relationships/hyperlink" Target="https://www.sejuku.net/blog/28728" TargetMode="External"/><Relationship Id="rId69" Type="http://schemas.openxmlformats.org/officeDocument/2006/relationships/hyperlink" Target="https://dekiru.net/article/12950/" TargetMode="External"/><Relationship Id="rId113" Type="http://schemas.openxmlformats.org/officeDocument/2006/relationships/hyperlink" Target="http://pgcafe.moo.jp/new/JS/index.php?dno=60&amp;fno=3" TargetMode="External"/><Relationship Id="rId118" Type="http://schemas.openxmlformats.org/officeDocument/2006/relationships/hyperlink" Target="https://qiita.com/Avocado/items/2148d3af400823f91ea5" TargetMode="External"/><Relationship Id="rId134" Type="http://schemas.openxmlformats.org/officeDocument/2006/relationships/hyperlink" Target="http://akiok-jp.hatenablog.com/entry/2013/04/21/215225" TargetMode="External"/><Relationship Id="rId139" Type="http://schemas.openxmlformats.org/officeDocument/2006/relationships/hyperlink" Target="https://kazumich.com/html5multiple.html" TargetMode="External"/><Relationship Id="rId80" Type="http://schemas.openxmlformats.org/officeDocument/2006/relationships/hyperlink" Target="https://qiita.com/s_s_k/items/b837278c66139c50f174" TargetMode="External"/><Relationship Id="rId85" Type="http://schemas.openxmlformats.org/officeDocument/2006/relationships/hyperlink" Target="https://lab.syncer.jp/Web/JavaScript/Snippet/28/" TargetMode="External"/><Relationship Id="rId150" Type="http://schemas.openxmlformats.org/officeDocument/2006/relationships/hyperlink" Target="https://php-archive.net/php/filename-numbering-recursive/" TargetMode="External"/><Relationship Id="rId155" Type="http://schemas.openxmlformats.org/officeDocument/2006/relationships/hyperlink" Target="http://ysklog.net/php/2873.html" TargetMode="External"/><Relationship Id="rId171" Type="http://schemas.openxmlformats.org/officeDocument/2006/relationships/hyperlink" Target="https://www.tagindex.com/stylesheet/link/text_decoration.html" TargetMode="External"/><Relationship Id="rId176" Type="http://schemas.openxmlformats.org/officeDocument/2006/relationships/printerSettings" Target="../printerSettings/printerSettings6.bin"/><Relationship Id="rId12" Type="http://schemas.openxmlformats.org/officeDocument/2006/relationships/hyperlink" Target="https://uxmilk.jp/8880" TargetMode="External"/><Relationship Id="rId17" Type="http://schemas.openxmlformats.org/officeDocument/2006/relationships/hyperlink" Target="http://html5.cyberlab.info/elements/forms/input-value.html" TargetMode="External"/><Relationship Id="rId33" Type="http://schemas.openxmlformats.org/officeDocument/2006/relationships/hyperlink" Target="http://php.net/manual/ja/language.operators.arithmetic.php" TargetMode="External"/><Relationship Id="rId38" Type="http://schemas.openxmlformats.org/officeDocument/2006/relationships/hyperlink" Target="http://d.hatena.ne.jp/osamuchan05/20131102" TargetMode="External"/><Relationship Id="rId59" Type="http://schemas.openxmlformats.org/officeDocument/2006/relationships/hyperlink" Target="http://d.hatena.ne.jp/Kazumi007/20090921/1253501500" TargetMode="External"/><Relationship Id="rId103" Type="http://schemas.openxmlformats.org/officeDocument/2006/relationships/hyperlink" Target="http://www.24w.jp/study_contents.php?bid=php&amp;iid=php&amp;sid=string&amp;cid=005" TargetMode="External"/><Relationship Id="rId108" Type="http://schemas.openxmlformats.org/officeDocument/2006/relationships/hyperlink" Target="https://qiita.com/oh_rusty_nail/items/e08f6b323d526fab3d55" TargetMode="External"/><Relationship Id="rId124" Type="http://schemas.openxmlformats.org/officeDocument/2006/relationships/hyperlink" Target="http://oracle.se-free.com/dml/07_sysdate.html" TargetMode="External"/><Relationship Id="rId129" Type="http://schemas.openxmlformats.org/officeDocument/2006/relationships/hyperlink" Target="https://syncer.jp/javascript-reference/element/childelementcount" TargetMode="External"/><Relationship Id="rId54" Type="http://schemas.openxmlformats.org/officeDocument/2006/relationships/hyperlink" Target="http://www.yabi-blog.xyz/safari_float_display_inline-block/" TargetMode="External"/><Relationship Id="rId70" Type="http://schemas.openxmlformats.org/officeDocument/2006/relationships/hyperlink" Target="http://cly7796.net/wp/javascript/create-a-calendar-with-javascript/" TargetMode="External"/><Relationship Id="rId75" Type="http://schemas.openxmlformats.org/officeDocument/2006/relationships/hyperlink" Target="http://js.studio-kingdom.com/javascript/node/append_child" TargetMode="External"/><Relationship Id="rId91" Type="http://schemas.openxmlformats.org/officeDocument/2006/relationships/hyperlink" Target="https://developer.mozilla.org/ja/docs/Web/JavaScript/Reference/Global_Objects/String/match" TargetMode="External"/><Relationship Id="rId96" Type="http://schemas.openxmlformats.org/officeDocument/2006/relationships/hyperlink" Target="https://oracle-chokotto.com/ora_insert.html" TargetMode="External"/><Relationship Id="rId140" Type="http://schemas.openxmlformats.org/officeDocument/2006/relationships/hyperlink" Target="https://techacademy.jp/magazine/4917" TargetMode="External"/><Relationship Id="rId145" Type="http://schemas.openxmlformats.org/officeDocument/2006/relationships/hyperlink" Target="http://d.hatena.ne.jp/ariteku/20110320/1300628115" TargetMode="External"/><Relationship Id="rId161" Type="http://schemas.openxmlformats.org/officeDocument/2006/relationships/hyperlink" Target="https://qiita.com/plusultra/items/add5d997a0ec02a08955" TargetMode="External"/><Relationship Id="rId166" Type="http://schemas.openxmlformats.org/officeDocument/2006/relationships/hyperlink" Target="https://www.peko-step.com/tool/tfcolor.html" TargetMode="External"/><Relationship Id="rId1" Type="http://schemas.openxmlformats.org/officeDocument/2006/relationships/hyperlink" Target="http://iphone.f-tools.net/html5/Width-Smart-Phone.html" TargetMode="External"/><Relationship Id="rId6" Type="http://schemas.openxmlformats.org/officeDocument/2006/relationships/hyperlink" Target="https://qiita.com/AkihikoIkeda/items/9dda2dda70b77c8eeca4" TargetMode="External"/><Relationship Id="rId23" Type="http://schemas.openxmlformats.org/officeDocument/2006/relationships/hyperlink" Target="https://www.sejuku.net/blog/22964" TargetMode="External"/><Relationship Id="rId28" Type="http://schemas.openxmlformats.org/officeDocument/2006/relationships/hyperlink" Target="https://saruwakakun.com/html-css/basic/display" TargetMode="External"/><Relationship Id="rId49" Type="http://schemas.openxmlformats.org/officeDocument/2006/relationships/hyperlink" Target="https://gist.github.com/xl1/55aa630747d7eb4fa97361baa80bab63" TargetMode="External"/><Relationship Id="rId114" Type="http://schemas.openxmlformats.org/officeDocument/2006/relationships/hyperlink" Target="https://syncer.jp/javascript-reference/element/childelementcount" TargetMode="External"/><Relationship Id="rId119" Type="http://schemas.openxmlformats.org/officeDocument/2006/relationships/hyperlink" Target="http://www.htmq.com/html5/input_type_tel.shtml" TargetMode="External"/><Relationship Id="rId10" Type="http://schemas.openxmlformats.org/officeDocument/2006/relationships/hyperlink" Target="http://www.css-designsample.com/beginner/hp/float-base.html" TargetMode="External"/><Relationship Id="rId31" Type="http://schemas.openxmlformats.org/officeDocument/2006/relationships/hyperlink" Target="https://haniwaman.com/inline-block-space/" TargetMode="External"/><Relationship Id="rId44" Type="http://schemas.openxmlformats.org/officeDocument/2006/relationships/hyperlink" Target="https://oracle.programmer-reference.com/sql-between/" TargetMode="External"/><Relationship Id="rId52" Type="http://schemas.openxmlformats.org/officeDocument/2006/relationships/hyperlink" Target="https://www.psi-net.co.jp/blog/?p=383" TargetMode="External"/><Relationship Id="rId60" Type="http://schemas.openxmlformats.org/officeDocument/2006/relationships/hyperlink" Target="http://www.pursue.ne.jp/jouhousyo/SQLDoc/select22.html" TargetMode="External"/><Relationship Id="rId65" Type="http://schemas.openxmlformats.org/officeDocument/2006/relationships/hyperlink" Target="https://www.ajaxtower.jp/js/object/index2.html" TargetMode="External"/><Relationship Id="rId73" Type="http://schemas.openxmlformats.org/officeDocument/2006/relationships/hyperlink" Target="https://www.ajaxtower.jp/js/date_class/index14.html" TargetMode="External"/><Relationship Id="rId78" Type="http://schemas.openxmlformats.org/officeDocument/2006/relationships/hyperlink" Target="https://qiita.com/katsukii/items/bd64efcf4f070d77c028" TargetMode="External"/><Relationship Id="rId81" Type="http://schemas.openxmlformats.org/officeDocument/2006/relationships/hyperlink" Target="http://www.ahref.org/doc/hinagata/back.html" TargetMode="External"/><Relationship Id="rId86" Type="http://schemas.openxmlformats.org/officeDocument/2006/relationships/hyperlink" Target="https://www.ipentec.com/document/javascript-get-checkbox-value" TargetMode="External"/><Relationship Id="rId94" Type="http://schemas.openxmlformats.org/officeDocument/2006/relationships/hyperlink" Target="https://techacademy.jp/magazine/18330" TargetMode="External"/><Relationship Id="rId99" Type="http://schemas.openxmlformats.org/officeDocument/2006/relationships/hyperlink" Target="http://weback.net/htmlcss/1284/" TargetMode="External"/><Relationship Id="rId101" Type="http://schemas.openxmlformats.org/officeDocument/2006/relationships/hyperlink" Target="https://qiita.com/kazu56/items/6947a0e4830eb556d575" TargetMode="External"/><Relationship Id="rId122" Type="http://schemas.openxmlformats.org/officeDocument/2006/relationships/hyperlink" Target="https://sql-oracle.com/?p=1274" TargetMode="External"/><Relationship Id="rId130" Type="http://schemas.openxmlformats.org/officeDocument/2006/relationships/hyperlink" Target="https://uxmilk.jp/11598" TargetMode="External"/><Relationship Id="rId135" Type="http://schemas.openxmlformats.org/officeDocument/2006/relationships/hyperlink" Target="https://itsakura.com/js-getattribute" TargetMode="External"/><Relationship Id="rId143" Type="http://schemas.openxmlformats.org/officeDocument/2006/relationships/hyperlink" Target="https://protocol.nekono.tokyo/2017/05/23/php-gd%E3%81%AE%E3%82%A4%E3%83%B3%E3%82%B9%E3%83%88%E3%83%BC%E3%83%AB-php7/" TargetMode="External"/><Relationship Id="rId148" Type="http://schemas.openxmlformats.org/officeDocument/2006/relationships/hyperlink" Target="http://html5.cyberlab.info/elements/forms/input-readonly.html" TargetMode="External"/><Relationship Id="rId151" Type="http://schemas.openxmlformats.org/officeDocument/2006/relationships/hyperlink" Target="https://www.sejuku.net/blog/50670" TargetMode="External"/><Relationship Id="rId156" Type="http://schemas.openxmlformats.org/officeDocument/2006/relationships/hyperlink" Target="https://qiita.com/shuntaro_tamura/items/b7908e6db527e1543837" TargetMode="External"/><Relationship Id="rId164" Type="http://schemas.openxmlformats.org/officeDocument/2006/relationships/hyperlink" Target="https://www.glic.co.jp/blog/archives/88" TargetMode="External"/><Relationship Id="rId169" Type="http://schemas.openxmlformats.org/officeDocument/2006/relationships/hyperlink" Target="https://memorocchi.net/hpcss-tateyokochuou/" TargetMode="External"/><Relationship Id="rId4" Type="http://schemas.openxmlformats.org/officeDocument/2006/relationships/hyperlink" Target="https://travelogue.jp/blog/archives/4757.html" TargetMode="External"/><Relationship Id="rId9" Type="http://schemas.openxmlformats.org/officeDocument/2006/relationships/hyperlink" Target="http://illbenet.jp/view/30" TargetMode="External"/><Relationship Id="rId172" Type="http://schemas.openxmlformats.org/officeDocument/2006/relationships/hyperlink" Target="http://serinaishii.hatenablog.com/entry/2015/09/30/Copyright%28%E3%82%B3%E3%83%94%E3%83%BC%E3%83%A9%E3%82%A4%E3%83%88%EF%BC%9A%E8%91%97%E4%BD%9C%E6%A8%A9%E8%A1%A8%E7%A4%BA%29%E3%81%AE%E6%AD%A3%E3%81%97%E3%81%84%E6%9B%B8%E3%81%8D%E6%96%B9%E3%82%92" TargetMode="External"/><Relationship Id="rId13" Type="http://schemas.openxmlformats.org/officeDocument/2006/relationships/hyperlink" Target="https://techacademy.jp/magazine/11620" TargetMode="External"/><Relationship Id="rId18" Type="http://schemas.openxmlformats.org/officeDocument/2006/relationships/hyperlink" Target="http://alphasis.info/2013/02/javascript-user-defined-functions-name/" TargetMode="External"/><Relationship Id="rId39" Type="http://schemas.openxmlformats.org/officeDocument/2006/relationships/hyperlink" Target="https://sql-oracle.com/sqlserver/?p=431" TargetMode="External"/><Relationship Id="rId109" Type="http://schemas.openxmlformats.org/officeDocument/2006/relationships/hyperlink" Target="https://www.granfairs.com/blog/staff/jquery-date-control" TargetMode="External"/><Relationship Id="rId34" Type="http://schemas.openxmlformats.org/officeDocument/2006/relationships/hyperlink" Target="https://www.phpbook.jp/func/string/index2.html" TargetMode="External"/><Relationship Id="rId50" Type="http://schemas.openxmlformats.org/officeDocument/2006/relationships/hyperlink" Target="https://qiita.com/simiraaaa/items/ee243b69bb0e52af069a" TargetMode="External"/><Relationship Id="rId55" Type="http://schemas.openxmlformats.org/officeDocument/2006/relationships/hyperlink" Target="http://www.itsenka.com/contents/development/html-css/html/button.html" TargetMode="External"/><Relationship Id="rId76" Type="http://schemas.openxmlformats.org/officeDocument/2006/relationships/hyperlink" Target="https://www.pazru.net/js/kihon/5.html" TargetMode="External"/><Relationship Id="rId97" Type="http://schemas.openxmlformats.org/officeDocument/2006/relationships/hyperlink" Target="https://oracle-chokotto.com/ora_update.html" TargetMode="External"/><Relationship Id="rId104" Type="http://schemas.openxmlformats.org/officeDocument/2006/relationships/hyperlink" Target="https://ameblo.jp/archive-redo-blog/entry-10034796525.html" TargetMode="External"/><Relationship Id="rId120" Type="http://schemas.openxmlformats.org/officeDocument/2006/relationships/hyperlink" Target="https://oracle.programmer-reference.com/plsql-max-insert/" TargetMode="External"/><Relationship Id="rId125" Type="http://schemas.openxmlformats.org/officeDocument/2006/relationships/hyperlink" Target="https://amidagamine.com/notes/404" TargetMode="External"/><Relationship Id="rId141" Type="http://schemas.openxmlformats.org/officeDocument/2006/relationships/hyperlink" Target="https://qiita.com/mmusasabi/items/4b7d2f27bd4604bfc17f" TargetMode="External"/><Relationship Id="rId146" Type="http://schemas.openxmlformats.org/officeDocument/2006/relationships/hyperlink" Target="https://qiita.com/kiryuumomoka/items/0bd7bc0e96ea61d3aeec" TargetMode="External"/><Relationship Id="rId167" Type="http://schemas.openxmlformats.org/officeDocument/2006/relationships/hyperlink" Target="http://www.htmq.com/css3/rgba.shtml" TargetMode="External"/><Relationship Id="rId7" Type="http://schemas.openxmlformats.org/officeDocument/2006/relationships/hyperlink" Target="https://qiita.com/jshimazu/items/bf571694bbad8db2cb3e" TargetMode="External"/><Relationship Id="rId71" Type="http://schemas.openxmlformats.org/officeDocument/2006/relationships/hyperlink" Target="http://dss.o.oo7.jp/cgi/PT.cgi?Oracle/ChangeIP" TargetMode="External"/><Relationship Id="rId92" Type="http://schemas.openxmlformats.org/officeDocument/2006/relationships/hyperlink" Target="http://www.ksknet.net/javascript/post_172.html" TargetMode="External"/><Relationship Id="rId162" Type="http://schemas.openxmlformats.org/officeDocument/2006/relationships/hyperlink" Target="https://gray-code.com/php/setting-for-file-upload-by-phpini/" TargetMode="External"/><Relationship Id="rId2" Type="http://schemas.openxmlformats.org/officeDocument/2006/relationships/hyperlink" Target="https://blog.mismithportfolio.com/web/20151027cssimageplace" TargetMode="External"/><Relationship Id="rId29" Type="http://schemas.openxmlformats.org/officeDocument/2006/relationships/hyperlink" Target="http://t-wata.com/?p=105" TargetMode="External"/><Relationship Id="rId24" Type="http://schemas.openxmlformats.org/officeDocument/2006/relationships/hyperlink" Target="https://1design.jp/web-development/css/1844" TargetMode="External"/><Relationship Id="rId40" Type="http://schemas.openxmlformats.org/officeDocument/2006/relationships/hyperlink" Target="http://d.hatena.ne.jp/kasahi/20070815/1187201809" TargetMode="External"/><Relationship Id="rId45" Type="http://schemas.openxmlformats.org/officeDocument/2006/relationships/hyperlink" Target="https://qiita.com/rana_kualu/items/f9d87279036626278e61" TargetMode="External"/><Relationship Id="rId66" Type="http://schemas.openxmlformats.org/officeDocument/2006/relationships/hyperlink" Target="https://qiita.com/sh19910711/items/3c0776fd8cc1797f955d" TargetMode="External"/><Relationship Id="rId87" Type="http://schemas.openxmlformats.org/officeDocument/2006/relationships/hyperlink" Target="https://www.pazru.net/js/DOM/2.html" TargetMode="External"/><Relationship Id="rId110" Type="http://schemas.openxmlformats.org/officeDocument/2006/relationships/hyperlink" Target="https://www.sejuku.net/blog/23998" TargetMode="External"/><Relationship Id="rId115" Type="http://schemas.openxmlformats.org/officeDocument/2006/relationships/hyperlink" Target="https://www.nishishi.com/javascript-tips/onload-page.html" TargetMode="External"/><Relationship Id="rId131" Type="http://schemas.openxmlformats.org/officeDocument/2006/relationships/hyperlink" Target="http://gihyo.jp/dev/serial/01/start-php/0012?page=1" TargetMode="External"/><Relationship Id="rId136" Type="http://schemas.openxmlformats.org/officeDocument/2006/relationships/hyperlink" Target="https://allabout.co.jp/gm/gc/23969/" TargetMode="External"/><Relationship Id="rId157" Type="http://schemas.openxmlformats.org/officeDocument/2006/relationships/hyperlink" Target="https://developer.mozilla.org/ja/docs/Web/API/Document/getElementsByName" TargetMode="External"/><Relationship Id="rId61" Type="http://schemas.openxmlformats.org/officeDocument/2006/relationships/hyperlink" Target="https://qiita.com/labocho/items/5fbaa0491b67221419b4" TargetMode="External"/><Relationship Id="rId82" Type="http://schemas.openxmlformats.org/officeDocument/2006/relationships/hyperlink" Target="http://html5.cyberlab.info/elements/forms/option-selected.html" TargetMode="External"/><Relationship Id="rId152" Type="http://schemas.openxmlformats.org/officeDocument/2006/relationships/hyperlink" Target="https://qiita.com/mpyw/items/db12ce86b15f3b0b3c19" TargetMode="External"/><Relationship Id="rId173" Type="http://schemas.openxmlformats.org/officeDocument/2006/relationships/hyperlink" Target="https://saruwakakun.com/html-css/basic/centering" TargetMode="External"/><Relationship Id="rId19" Type="http://schemas.openxmlformats.org/officeDocument/2006/relationships/hyperlink" Target="https://so-zou.jp/web-app/tech/programming/php/sample/javascript-cooperation.htm" TargetMode="External"/><Relationship Id="rId14" Type="http://schemas.openxmlformats.org/officeDocument/2006/relationships/hyperlink" Target="https://www.sejuku.net/blog/26119" TargetMode="External"/><Relationship Id="rId30" Type="http://schemas.openxmlformats.org/officeDocument/2006/relationships/hyperlink" Target="https://www.acky.info/tips/css/00025.html" TargetMode="External"/><Relationship Id="rId35" Type="http://schemas.openxmlformats.org/officeDocument/2006/relationships/hyperlink" Target="https://www.tagindex.com/html_tag/elements/select.html" TargetMode="External"/><Relationship Id="rId56" Type="http://schemas.openxmlformats.org/officeDocument/2006/relationships/hyperlink" Target="https://www.webdlab.com/labs/ios-button/" TargetMode="External"/><Relationship Id="rId77" Type="http://schemas.openxmlformats.org/officeDocument/2006/relationships/hyperlink" Target="https://www.sejuku.net/blog/21149/" TargetMode="External"/><Relationship Id="rId100" Type="http://schemas.openxmlformats.org/officeDocument/2006/relationships/hyperlink" Target="https://www.sejuku.net/blog/47875" TargetMode="External"/><Relationship Id="rId105" Type="http://schemas.openxmlformats.org/officeDocument/2006/relationships/hyperlink" Target="https://www.ajaxtower.jp/js/event/index3.html" TargetMode="External"/><Relationship Id="rId126" Type="http://schemas.openxmlformats.org/officeDocument/2006/relationships/hyperlink" Target="http://raining.bear-life.com/linux/php-ini%E3%81%AE%E8%A8%AD%E5%AE%9A%E3%82%92%E5%A4%89%E6%9B%B4%E3%81%97%E3%80%81%E5%8F%8D%E6%98%A0%E3%81%95%E3%81%9B%E3%82%8B" TargetMode="External"/><Relationship Id="rId147" Type="http://schemas.openxmlformats.org/officeDocument/2006/relationships/hyperlink" Target="http://takapi86.hatenablog.com/entry/2017/10/22/184257" TargetMode="External"/><Relationship Id="rId168" Type="http://schemas.openxmlformats.org/officeDocument/2006/relationships/hyperlink" Target="http://www.koikikukan.com/archives/2012/08/22-015555.php" TargetMode="External"/><Relationship Id="rId8" Type="http://schemas.openxmlformats.org/officeDocument/2006/relationships/hyperlink" Target="https://stand-4u.com/javascript/slick.html" TargetMode="External"/><Relationship Id="rId51" Type="http://schemas.openxmlformats.org/officeDocument/2006/relationships/hyperlink" Target="http://www.sql-reference.com/summary/count.html" TargetMode="External"/><Relationship Id="rId72" Type="http://schemas.openxmlformats.org/officeDocument/2006/relationships/hyperlink" Target="http://kyoukara20140123.hatenablog.com/entry/2017/01/14/201748" TargetMode="External"/><Relationship Id="rId93" Type="http://schemas.openxmlformats.org/officeDocument/2006/relationships/hyperlink" Target="https://qiita.com/jiyu/items/6c14a2a47283d7b36e49" TargetMode="External"/><Relationship Id="rId98" Type="http://schemas.openxmlformats.org/officeDocument/2006/relationships/hyperlink" Target="https://qiita.com/39_isao/items/1c26314d1dae8be539a5" TargetMode="External"/><Relationship Id="rId121" Type="http://schemas.openxmlformats.org/officeDocument/2006/relationships/hyperlink" Target="https://php1st.com/1402" TargetMode="External"/><Relationship Id="rId142" Type="http://schemas.openxmlformats.org/officeDocument/2006/relationships/hyperlink" Target="https://qiita.com/tokutoku393/items/ebaaafaff90e48bfd42c" TargetMode="External"/><Relationship Id="rId163" Type="http://schemas.openxmlformats.org/officeDocument/2006/relationships/hyperlink" Target="http://webnonotes.com/css/header_footer/" TargetMode="External"/><Relationship Id="rId3" Type="http://schemas.openxmlformats.org/officeDocument/2006/relationships/hyperlink" Target="https://blog.mudatobunka.org/entry/2016/08/26/230722" TargetMode="External"/><Relationship Id="rId25" Type="http://schemas.openxmlformats.org/officeDocument/2006/relationships/hyperlink" Target="http://edo.blog.jp/archives/1544244.html" TargetMode="External"/><Relationship Id="rId46" Type="http://schemas.openxmlformats.org/officeDocument/2006/relationships/hyperlink" Target="http://php.net/manual/ja/session.examples.basic.php" TargetMode="External"/><Relationship Id="rId67" Type="http://schemas.openxmlformats.org/officeDocument/2006/relationships/hyperlink" Target="https://www.ajaxtower.jp/js/array_class/index2.html" TargetMode="External"/><Relationship Id="rId116" Type="http://schemas.openxmlformats.org/officeDocument/2006/relationships/hyperlink" Target="https://blog.diginnovation.com/archives/2959/" TargetMode="External"/><Relationship Id="rId137" Type="http://schemas.openxmlformats.org/officeDocument/2006/relationships/hyperlink" Target="http://www.aiship.jp/knowhow/archives/27837" TargetMode="External"/><Relationship Id="rId158" Type="http://schemas.openxmlformats.org/officeDocument/2006/relationships/hyperlink" Target="https://www.sejuku.net/blog/27672" TargetMode="External"/><Relationship Id="rId20" Type="http://schemas.openxmlformats.org/officeDocument/2006/relationships/hyperlink" Target="http://www.php-labo.net/tutorial/php/heredocument.html" TargetMode="External"/><Relationship Id="rId41" Type="http://schemas.openxmlformats.org/officeDocument/2006/relationships/hyperlink" Target="http://sql.main.jp/cont/sql/se/like.html" TargetMode="External"/><Relationship Id="rId62" Type="http://schemas.openxmlformats.org/officeDocument/2006/relationships/hyperlink" Target="https://www.ajaxtower.jp/js/date_class/index8.html" TargetMode="External"/><Relationship Id="rId83" Type="http://schemas.openxmlformats.org/officeDocument/2006/relationships/hyperlink" Target="http://ysklog.net/javascript/5607.html" TargetMode="External"/><Relationship Id="rId88" Type="http://schemas.openxmlformats.org/officeDocument/2006/relationships/hyperlink" Target="https://www.out48.com/archives/2080/" TargetMode="External"/><Relationship Id="rId111" Type="http://schemas.openxmlformats.org/officeDocument/2006/relationships/hyperlink" Target="http://kobazlab.main.jp/2016/06/08/js%E3%81%A7%E3%82%AA%E3%83%96%E3%82%B8%E3%82%A7%E3%82%AF%E3%83%88%E3%81%AE%E6%8C%87%E5%AE%9A%E3%81%AB%E5%A4%89%E6%95%B0%E3%82%92%E4%BD%BF%E3%81%86%E3%80%82/" TargetMode="External"/><Relationship Id="rId132" Type="http://schemas.openxmlformats.org/officeDocument/2006/relationships/hyperlink" Target="https://suin.io/486" TargetMode="External"/><Relationship Id="rId153" Type="http://schemas.openxmlformats.org/officeDocument/2006/relationships/hyperlink" Target="https://www.phpbook.jp/tutorial/if/index4.html" TargetMode="External"/><Relationship Id="rId174" Type="http://schemas.openxmlformats.org/officeDocument/2006/relationships/hyperlink" Target="https://centosinstall.com/design/css/abusolute-bottom" TargetMode="External"/><Relationship Id="rId15" Type="http://schemas.openxmlformats.org/officeDocument/2006/relationships/hyperlink" Target="http://html5.cyberlab.info/elements/forms/input-alt.html" TargetMode="External"/><Relationship Id="rId36" Type="http://schemas.openxmlformats.org/officeDocument/2006/relationships/hyperlink" Target="https://blog.raizzenet.com/change-size-checkbox/" TargetMode="External"/><Relationship Id="rId57" Type="http://schemas.openxmlformats.org/officeDocument/2006/relationships/hyperlink" Target="https://qiita.com/mgng/items/ae3c4c07f920a5e6e2ed" TargetMode="External"/><Relationship Id="rId106" Type="http://schemas.openxmlformats.org/officeDocument/2006/relationships/hyperlink" Target="https://reference.hyper-text.org/html5/attribute/name/" TargetMode="External"/><Relationship Id="rId127" Type="http://schemas.openxmlformats.org/officeDocument/2006/relationships/hyperlink" Target="https://javascript.programmer-reference.com/js-id-change/"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F49"/>
  <sheetViews>
    <sheetView tabSelected="1" workbookViewId="0"/>
  </sheetViews>
  <sheetFormatPr defaultRowHeight="13.3"/>
  <cols>
    <col min="1" max="1" width="14.875" bestFit="1" customWidth="1"/>
    <col min="2" max="2" width="13.75" bestFit="1" customWidth="1"/>
    <col min="3" max="3" width="31.875" bestFit="1" customWidth="1"/>
    <col min="4" max="4" width="14.75" bestFit="1" customWidth="1"/>
    <col min="5" max="5" width="45.75" bestFit="1" customWidth="1"/>
    <col min="6" max="6" width="10.625" bestFit="1" customWidth="1"/>
  </cols>
  <sheetData>
    <row r="2" spans="1:6" ht="23.8">
      <c r="A2" s="1" t="s">
        <v>11</v>
      </c>
    </row>
    <row r="3" spans="1:6" ht="14" thickBot="1"/>
    <row r="4" spans="1:6" ht="14" thickBot="1">
      <c r="A4" s="2" t="s">
        <v>1</v>
      </c>
      <c r="B4" s="4" t="s">
        <v>2</v>
      </c>
      <c r="C4" s="3" t="s">
        <v>5</v>
      </c>
      <c r="D4" s="4" t="s">
        <v>13</v>
      </c>
      <c r="E4" s="3" t="s">
        <v>24</v>
      </c>
      <c r="F4" s="41" t="s">
        <v>119</v>
      </c>
    </row>
    <row r="5" spans="1:6">
      <c r="A5" s="5" t="s">
        <v>0</v>
      </c>
      <c r="B5" s="10" t="s">
        <v>15</v>
      </c>
      <c r="C5" s="10" t="s">
        <v>16</v>
      </c>
      <c r="D5" s="13"/>
      <c r="E5" s="40" t="s">
        <v>37</v>
      </c>
      <c r="F5" s="55" t="s">
        <v>122</v>
      </c>
    </row>
    <row r="6" spans="1:6">
      <c r="A6" s="6"/>
      <c r="B6" s="11"/>
      <c r="C6" s="12"/>
      <c r="D6" s="14"/>
      <c r="E6" s="17" t="s">
        <v>27</v>
      </c>
      <c r="F6" s="56" t="s">
        <v>122</v>
      </c>
    </row>
    <row r="7" spans="1:6">
      <c r="A7" s="6"/>
      <c r="B7" s="11"/>
      <c r="C7" s="11" t="s">
        <v>19</v>
      </c>
      <c r="D7" s="15" t="s">
        <v>17</v>
      </c>
      <c r="E7" s="14" t="s">
        <v>39</v>
      </c>
      <c r="F7" s="56" t="s">
        <v>122</v>
      </c>
    </row>
    <row r="8" spans="1:6">
      <c r="A8" s="6"/>
      <c r="B8" s="11"/>
      <c r="C8" s="11"/>
      <c r="D8" s="15" t="s">
        <v>18</v>
      </c>
      <c r="E8" s="14" t="s">
        <v>41</v>
      </c>
      <c r="F8" s="56" t="s">
        <v>122</v>
      </c>
    </row>
    <row r="9" spans="1:6">
      <c r="A9" s="6"/>
      <c r="B9" s="11"/>
      <c r="C9" s="11"/>
      <c r="D9" s="15" t="s">
        <v>20</v>
      </c>
      <c r="E9" s="14" t="s">
        <v>43</v>
      </c>
      <c r="F9" s="56" t="s">
        <v>122</v>
      </c>
    </row>
    <row r="10" spans="1:6">
      <c r="A10" s="6"/>
      <c r="B10" s="11"/>
      <c r="C10" s="11"/>
      <c r="D10" s="16" t="s">
        <v>23</v>
      </c>
      <c r="E10" s="14" t="s">
        <v>26</v>
      </c>
      <c r="F10" s="56" t="s">
        <v>122</v>
      </c>
    </row>
    <row r="11" spans="1:6">
      <c r="A11" s="6"/>
      <c r="B11" s="11"/>
      <c r="C11" s="11"/>
      <c r="D11" s="11"/>
      <c r="E11" s="14" t="s">
        <v>45</v>
      </c>
      <c r="F11" s="56" t="s">
        <v>122</v>
      </c>
    </row>
    <row r="12" spans="1:6">
      <c r="A12" s="6"/>
      <c r="B12" s="12"/>
      <c r="C12" s="12"/>
      <c r="D12" s="9"/>
      <c r="E12" s="8" t="s">
        <v>47</v>
      </c>
      <c r="F12" s="56" t="s">
        <v>122</v>
      </c>
    </row>
    <row r="13" spans="1:6">
      <c r="A13" s="6"/>
      <c r="B13" s="11" t="s">
        <v>14</v>
      </c>
      <c r="C13" s="11" t="s">
        <v>6</v>
      </c>
      <c r="D13" s="15" t="s">
        <v>21</v>
      </c>
      <c r="E13" s="14" t="s">
        <v>49</v>
      </c>
      <c r="F13" s="56"/>
    </row>
    <row r="14" spans="1:6">
      <c r="A14" s="6"/>
      <c r="B14" s="11"/>
      <c r="C14" s="11"/>
      <c r="D14" s="15" t="s">
        <v>22</v>
      </c>
      <c r="E14" s="14" t="s">
        <v>51</v>
      </c>
      <c r="F14" s="56"/>
    </row>
    <row r="15" spans="1:6">
      <c r="A15" s="6"/>
      <c r="B15" s="11"/>
      <c r="C15" s="12"/>
      <c r="D15" s="7"/>
      <c r="E15" s="7" t="s">
        <v>53</v>
      </c>
      <c r="F15" s="56"/>
    </row>
    <row r="16" spans="1:6">
      <c r="A16" s="6"/>
      <c r="B16" s="11"/>
      <c r="C16" s="11" t="s">
        <v>54</v>
      </c>
      <c r="D16" s="15" t="s">
        <v>21</v>
      </c>
      <c r="E16" s="14" t="s">
        <v>56</v>
      </c>
      <c r="F16" s="56"/>
    </row>
    <row r="17" spans="1:6">
      <c r="A17" s="6"/>
      <c r="B17" s="11"/>
      <c r="C17" s="11"/>
      <c r="D17" s="15" t="s">
        <v>22</v>
      </c>
      <c r="E17" s="14" t="s">
        <v>58</v>
      </c>
      <c r="F17" s="56"/>
    </row>
    <row r="18" spans="1:6">
      <c r="A18" s="6"/>
      <c r="B18" s="11"/>
      <c r="C18" s="12"/>
      <c r="D18" s="7"/>
      <c r="E18" s="7" t="s">
        <v>60</v>
      </c>
      <c r="F18" s="56"/>
    </row>
    <row r="19" spans="1:6">
      <c r="A19" s="6"/>
      <c r="B19" s="11"/>
      <c r="C19" s="11" t="s">
        <v>61</v>
      </c>
      <c r="D19" s="15" t="s">
        <v>21</v>
      </c>
      <c r="E19" s="14" t="s">
        <v>63</v>
      </c>
      <c r="F19" s="56" t="s">
        <v>122</v>
      </c>
    </row>
    <row r="20" spans="1:6">
      <c r="A20" s="6"/>
      <c r="B20" s="11"/>
      <c r="C20" s="11"/>
      <c r="D20" s="15" t="s">
        <v>22</v>
      </c>
      <c r="E20" s="14" t="s">
        <v>65</v>
      </c>
      <c r="F20" s="56" t="s">
        <v>122</v>
      </c>
    </row>
    <row r="21" spans="1:6">
      <c r="A21" s="6"/>
      <c r="B21" s="11"/>
      <c r="C21" s="12"/>
      <c r="D21" s="7"/>
      <c r="E21" s="7" t="s">
        <v>66</v>
      </c>
      <c r="F21" s="56" t="s">
        <v>122</v>
      </c>
    </row>
    <row r="22" spans="1:6">
      <c r="A22" s="6"/>
      <c r="B22" s="11"/>
      <c r="C22" s="11" t="s">
        <v>7</v>
      </c>
      <c r="D22" s="15" t="s">
        <v>21</v>
      </c>
      <c r="E22" s="14" t="s">
        <v>68</v>
      </c>
      <c r="F22" s="56" t="s">
        <v>122</v>
      </c>
    </row>
    <row r="23" spans="1:6">
      <c r="A23" s="6"/>
      <c r="B23" s="11"/>
      <c r="C23" s="11"/>
      <c r="D23" s="15" t="s">
        <v>22</v>
      </c>
      <c r="E23" s="14" t="s">
        <v>70</v>
      </c>
      <c r="F23" s="56" t="s">
        <v>122</v>
      </c>
    </row>
    <row r="24" spans="1:6">
      <c r="A24" s="6"/>
      <c r="B24" s="11"/>
      <c r="C24" s="12"/>
      <c r="D24" s="7"/>
      <c r="E24" s="7" t="s">
        <v>72</v>
      </c>
      <c r="F24" s="56" t="s">
        <v>122</v>
      </c>
    </row>
    <row r="25" spans="1:6">
      <c r="A25" s="6"/>
      <c r="B25" s="11"/>
      <c r="C25" s="11" t="s">
        <v>8</v>
      </c>
      <c r="D25" s="15" t="s">
        <v>21</v>
      </c>
      <c r="E25" s="14" t="s">
        <v>74</v>
      </c>
      <c r="F25" s="56" t="s">
        <v>122</v>
      </c>
    </row>
    <row r="26" spans="1:6">
      <c r="A26" s="6"/>
      <c r="B26" s="11"/>
      <c r="C26" s="11"/>
      <c r="D26" s="15" t="s">
        <v>22</v>
      </c>
      <c r="E26" s="14" t="s">
        <v>76</v>
      </c>
      <c r="F26" s="56" t="s">
        <v>122</v>
      </c>
    </row>
    <row r="27" spans="1:6">
      <c r="A27" s="6"/>
      <c r="B27" s="11"/>
      <c r="C27" s="12"/>
      <c r="D27" s="7"/>
      <c r="E27" s="7" t="s">
        <v>78</v>
      </c>
      <c r="F27" s="56" t="s">
        <v>122</v>
      </c>
    </row>
    <row r="28" spans="1:6">
      <c r="A28" s="6"/>
      <c r="B28" s="11"/>
      <c r="C28" s="11" t="s">
        <v>79</v>
      </c>
      <c r="D28" s="15" t="s">
        <v>21</v>
      </c>
      <c r="E28" s="14" t="s">
        <v>81</v>
      </c>
      <c r="F28" s="56" t="s">
        <v>122</v>
      </c>
    </row>
    <row r="29" spans="1:6">
      <c r="A29" s="6"/>
      <c r="B29" s="11"/>
      <c r="C29" s="11"/>
      <c r="D29" s="15" t="s">
        <v>22</v>
      </c>
      <c r="E29" s="14" t="s">
        <v>83</v>
      </c>
      <c r="F29" s="56" t="s">
        <v>122</v>
      </c>
    </row>
    <row r="30" spans="1:6">
      <c r="A30" s="6"/>
      <c r="B30" s="11"/>
      <c r="C30" s="12"/>
      <c r="D30" s="7"/>
      <c r="E30" s="7" t="s">
        <v>85</v>
      </c>
      <c r="F30" s="56" t="s">
        <v>122</v>
      </c>
    </row>
    <row r="31" spans="1:6">
      <c r="A31" s="6"/>
      <c r="B31" s="11"/>
      <c r="C31" s="11" t="s">
        <v>661</v>
      </c>
      <c r="D31" s="15" t="s">
        <v>21</v>
      </c>
      <c r="E31" s="14" t="s">
        <v>87</v>
      </c>
      <c r="F31" s="56" t="s">
        <v>122</v>
      </c>
    </row>
    <row r="32" spans="1:6">
      <c r="A32" s="6"/>
      <c r="B32" s="11"/>
      <c r="C32" s="11"/>
      <c r="D32" s="15" t="s">
        <v>22</v>
      </c>
      <c r="E32" s="14" t="s">
        <v>89</v>
      </c>
      <c r="F32" s="56" t="s">
        <v>122</v>
      </c>
    </row>
    <row r="33" spans="1:6">
      <c r="A33" s="6"/>
      <c r="B33" s="11"/>
      <c r="C33" s="12"/>
      <c r="D33" s="7"/>
      <c r="E33" s="7" t="s">
        <v>91</v>
      </c>
      <c r="F33" s="56" t="s">
        <v>122</v>
      </c>
    </row>
    <row r="34" spans="1:6">
      <c r="A34" s="6"/>
      <c r="B34" s="11"/>
      <c r="C34" s="11" t="s">
        <v>92</v>
      </c>
      <c r="D34" s="15" t="s">
        <v>21</v>
      </c>
      <c r="E34" s="14" t="s">
        <v>94</v>
      </c>
      <c r="F34" s="56" t="s">
        <v>122</v>
      </c>
    </row>
    <row r="35" spans="1:6">
      <c r="A35" s="6"/>
      <c r="B35" s="11"/>
      <c r="C35" s="11"/>
      <c r="D35" s="15" t="s">
        <v>22</v>
      </c>
      <c r="E35" s="14" t="s">
        <v>96</v>
      </c>
      <c r="F35" s="56" t="s">
        <v>122</v>
      </c>
    </row>
    <row r="36" spans="1:6">
      <c r="A36" s="6"/>
      <c r="B36" s="11"/>
      <c r="C36" s="12"/>
      <c r="D36" s="7"/>
      <c r="E36" s="7" t="s">
        <v>98</v>
      </c>
      <c r="F36" s="56" t="s">
        <v>122</v>
      </c>
    </row>
    <row r="37" spans="1:6">
      <c r="A37" s="6"/>
      <c r="B37" s="11"/>
      <c r="C37" s="11" t="s">
        <v>12</v>
      </c>
      <c r="D37" s="15" t="s">
        <v>21</v>
      </c>
      <c r="E37" s="14" t="s">
        <v>100</v>
      </c>
      <c r="F37" s="56" t="s">
        <v>602</v>
      </c>
    </row>
    <row r="38" spans="1:6">
      <c r="A38" s="6"/>
      <c r="B38" s="11"/>
      <c r="C38" s="11"/>
      <c r="D38" s="15" t="s">
        <v>22</v>
      </c>
      <c r="E38" s="14" t="s">
        <v>102</v>
      </c>
      <c r="F38" s="56" t="s">
        <v>122</v>
      </c>
    </row>
    <row r="39" spans="1:6">
      <c r="A39" s="6"/>
      <c r="B39" s="12"/>
      <c r="C39" s="12"/>
      <c r="D39" s="14"/>
      <c r="E39" s="17" t="s">
        <v>104</v>
      </c>
      <c r="F39" s="56" t="s">
        <v>122</v>
      </c>
    </row>
    <row r="40" spans="1:6">
      <c r="A40" s="6"/>
      <c r="B40" s="11" t="s">
        <v>3</v>
      </c>
      <c r="C40" s="14"/>
      <c r="D40" s="17"/>
      <c r="E40" s="17" t="s">
        <v>106</v>
      </c>
      <c r="F40" s="56" t="s">
        <v>220</v>
      </c>
    </row>
    <row r="41" spans="1:6">
      <c r="A41" s="6"/>
      <c r="B41" s="12"/>
      <c r="C41" s="14"/>
      <c r="D41" s="9"/>
      <c r="E41" s="9" t="s">
        <v>108</v>
      </c>
      <c r="F41" s="56" t="s">
        <v>235</v>
      </c>
    </row>
    <row r="42" spans="1:6">
      <c r="A42" s="6"/>
      <c r="B42" s="11" t="s">
        <v>4</v>
      </c>
      <c r="C42" s="11" t="s">
        <v>9</v>
      </c>
      <c r="D42" s="14"/>
      <c r="E42" s="17" t="s">
        <v>110</v>
      </c>
      <c r="F42" s="56" t="s">
        <v>122</v>
      </c>
    </row>
    <row r="43" spans="1:6">
      <c r="A43" s="6"/>
      <c r="B43" s="11"/>
      <c r="C43" s="12"/>
      <c r="D43" s="14"/>
      <c r="E43" s="17" t="s">
        <v>112</v>
      </c>
      <c r="F43" s="56"/>
    </row>
    <row r="44" spans="1:6">
      <c r="A44" s="6"/>
      <c r="B44" s="11"/>
      <c r="C44" s="15" t="s">
        <v>10</v>
      </c>
      <c r="D44" s="15" t="s">
        <v>30</v>
      </c>
      <c r="E44" s="14" t="s">
        <v>29</v>
      </c>
      <c r="F44" s="56"/>
    </row>
    <row r="45" spans="1:6">
      <c r="A45" s="6"/>
      <c r="B45" s="11"/>
      <c r="C45" s="11" t="s">
        <v>31</v>
      </c>
      <c r="D45" s="7"/>
      <c r="E45" s="7" t="s">
        <v>114</v>
      </c>
      <c r="F45" s="56" t="s">
        <v>235</v>
      </c>
    </row>
    <row r="46" spans="1:6">
      <c r="A46" s="6"/>
      <c r="B46" s="11"/>
      <c r="C46" s="11"/>
      <c r="D46" s="14"/>
      <c r="E46" s="17" t="s">
        <v>116</v>
      </c>
      <c r="F46" s="56" t="s">
        <v>235</v>
      </c>
    </row>
    <row r="47" spans="1:6">
      <c r="A47" s="6"/>
      <c r="B47" s="11"/>
      <c r="C47" s="11"/>
      <c r="D47" s="7"/>
      <c r="E47" s="7" t="s">
        <v>33</v>
      </c>
      <c r="F47" s="56" t="s">
        <v>235</v>
      </c>
    </row>
    <row r="48" spans="1:6" ht="14" thickBot="1">
      <c r="A48" s="19"/>
      <c r="B48" s="20" t="s">
        <v>34</v>
      </c>
      <c r="C48" s="21"/>
      <c r="D48" s="22"/>
      <c r="E48" s="22" t="s">
        <v>117</v>
      </c>
      <c r="F48" s="56" t="s">
        <v>122</v>
      </c>
    </row>
    <row r="49" spans="5:6" ht="14" thickBot="1">
      <c r="E49" s="102" t="s">
        <v>236</v>
      </c>
      <c r="F49" s="103">
        <f>COUNTA(F5:F48) / 46</f>
        <v>0.78260869565217395</v>
      </c>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BK90"/>
  <sheetViews>
    <sheetView workbookViewId="0">
      <pane xSplit="7088" ySplit="1566" topLeftCell="BB59" activePane="bottomRight"/>
      <selection activeCell="B4" sqref="B4"/>
      <selection pane="topRight" activeCell="AU4" sqref="AU4"/>
      <selection pane="bottomLeft" activeCell="A5" sqref="A5"/>
      <selection pane="bottomRight" activeCell="BJ66" sqref="BJ66"/>
    </sheetView>
  </sheetViews>
  <sheetFormatPr defaultRowHeight="13.3"/>
  <cols>
    <col min="1" max="1" width="49" style="31" bestFit="1" customWidth="1"/>
    <col min="2" max="2" width="10.625" style="31" bestFit="1" customWidth="1"/>
    <col min="3" max="3" width="9.75" style="31" bestFit="1" customWidth="1"/>
    <col min="4" max="33" width="6.75" style="31" bestFit="1" customWidth="1"/>
    <col min="34" max="34" width="9.75" style="31" bestFit="1" customWidth="1"/>
    <col min="35" max="63" width="6.75" style="31" bestFit="1" customWidth="1"/>
    <col min="64" max="16384" width="9" style="31"/>
  </cols>
  <sheetData>
    <row r="2" spans="1:63" ht="23.8">
      <c r="A2" s="30" t="s">
        <v>35</v>
      </c>
      <c r="B2" s="30"/>
    </row>
    <row r="3" spans="1:63" ht="14" thickBot="1"/>
    <row r="4" spans="1:63" s="33" customFormat="1" ht="14" thickBot="1">
      <c r="A4" s="32" t="s">
        <v>36</v>
      </c>
      <c r="B4" s="120" t="s">
        <v>395</v>
      </c>
      <c r="C4" s="50">
        <v>43313</v>
      </c>
      <c r="D4" s="77">
        <v>43314</v>
      </c>
      <c r="E4" s="77">
        <v>43315</v>
      </c>
      <c r="F4" s="77">
        <v>43316</v>
      </c>
      <c r="G4" s="77">
        <v>43317</v>
      </c>
      <c r="H4" s="77">
        <v>43318</v>
      </c>
      <c r="I4" s="77">
        <v>43319</v>
      </c>
      <c r="J4" s="77">
        <v>43320</v>
      </c>
      <c r="K4" s="77">
        <v>43321</v>
      </c>
      <c r="L4" s="77">
        <v>43322</v>
      </c>
      <c r="M4" s="77">
        <v>43323</v>
      </c>
      <c r="N4" s="77">
        <v>43324</v>
      </c>
      <c r="O4" s="77">
        <v>43325</v>
      </c>
      <c r="P4" s="77">
        <v>43326</v>
      </c>
      <c r="Q4" s="77">
        <v>43327</v>
      </c>
      <c r="R4" s="77">
        <v>43328</v>
      </c>
      <c r="S4" s="77">
        <v>43329</v>
      </c>
      <c r="T4" s="77">
        <v>43330</v>
      </c>
      <c r="U4" s="77">
        <v>43331</v>
      </c>
      <c r="V4" s="77">
        <v>43332</v>
      </c>
      <c r="W4" s="77">
        <v>43333</v>
      </c>
      <c r="X4" s="77">
        <v>43334</v>
      </c>
      <c r="Y4" s="77">
        <v>43335</v>
      </c>
      <c r="Z4" s="77">
        <v>43336</v>
      </c>
      <c r="AA4" s="77">
        <v>43337</v>
      </c>
      <c r="AB4" s="77">
        <v>43338</v>
      </c>
      <c r="AC4" s="77">
        <v>43339</v>
      </c>
      <c r="AD4" s="77">
        <v>43340</v>
      </c>
      <c r="AE4" s="77">
        <v>43341</v>
      </c>
      <c r="AF4" s="77">
        <v>43342</v>
      </c>
      <c r="AG4" s="77">
        <v>43343</v>
      </c>
      <c r="AH4" s="50">
        <v>43344</v>
      </c>
      <c r="AI4" s="77">
        <v>43345</v>
      </c>
      <c r="AJ4" s="77">
        <v>43346</v>
      </c>
      <c r="AK4" s="77">
        <v>43347</v>
      </c>
      <c r="AL4" s="77">
        <v>43348</v>
      </c>
      <c r="AM4" s="77">
        <v>43349</v>
      </c>
      <c r="AN4" s="77">
        <v>43350</v>
      </c>
      <c r="AO4" s="77">
        <v>43351</v>
      </c>
      <c r="AP4" s="77">
        <v>43352</v>
      </c>
      <c r="AQ4" s="77">
        <v>43353</v>
      </c>
      <c r="AR4" s="77">
        <v>43354</v>
      </c>
      <c r="AS4" s="77">
        <v>43355</v>
      </c>
      <c r="AT4" s="77">
        <v>43356</v>
      </c>
      <c r="AU4" s="77">
        <v>43357</v>
      </c>
      <c r="AV4" s="77">
        <v>43358</v>
      </c>
      <c r="AW4" s="77">
        <v>43359</v>
      </c>
      <c r="AX4" s="77">
        <v>43360</v>
      </c>
      <c r="AY4" s="77">
        <v>43361</v>
      </c>
      <c r="AZ4" s="77">
        <v>43362</v>
      </c>
      <c r="BA4" s="77">
        <v>43363</v>
      </c>
      <c r="BB4" s="77">
        <v>43364</v>
      </c>
      <c r="BC4" s="77">
        <v>43365</v>
      </c>
      <c r="BD4" s="77">
        <v>43366</v>
      </c>
      <c r="BE4" s="77">
        <v>43367</v>
      </c>
      <c r="BF4" s="77">
        <v>43368</v>
      </c>
      <c r="BG4" s="77">
        <v>43369</v>
      </c>
      <c r="BH4" s="77">
        <v>43370</v>
      </c>
      <c r="BI4" s="77">
        <v>43371</v>
      </c>
      <c r="BJ4" s="77">
        <v>43372</v>
      </c>
      <c r="BK4" s="126">
        <v>43373</v>
      </c>
    </row>
    <row r="5" spans="1:63">
      <c r="A5" s="24" t="s">
        <v>37</v>
      </c>
      <c r="B5" s="133" t="s">
        <v>394</v>
      </c>
      <c r="C5" s="42"/>
      <c r="D5" s="42"/>
      <c r="E5" s="42"/>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6"/>
    </row>
    <row r="6" spans="1:63">
      <c r="A6" s="39" t="s">
        <v>121</v>
      </c>
      <c r="B6" s="130"/>
      <c r="C6" s="53"/>
      <c r="D6" s="54" t="s">
        <v>122</v>
      </c>
      <c r="E6" s="51"/>
      <c r="F6" s="44"/>
      <c r="G6" s="44"/>
      <c r="H6" s="44"/>
      <c r="I6" s="44"/>
      <c r="J6" s="44"/>
      <c r="K6" s="44"/>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5"/>
    </row>
    <row r="7" spans="1:63">
      <c r="A7" s="34" t="s">
        <v>27</v>
      </c>
      <c r="B7" s="131" t="s">
        <v>394</v>
      </c>
      <c r="C7" s="35"/>
      <c r="D7" s="35"/>
      <c r="E7" s="43"/>
      <c r="F7" s="35"/>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6"/>
    </row>
    <row r="8" spans="1:63">
      <c r="A8" s="34" t="s">
        <v>121</v>
      </c>
      <c r="B8" s="132"/>
      <c r="C8" s="35"/>
      <c r="D8" s="57" t="s">
        <v>123</v>
      </c>
      <c r="E8" s="58"/>
      <c r="F8" s="35"/>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6"/>
    </row>
    <row r="9" spans="1:63">
      <c r="A9" s="27" t="s">
        <v>40</v>
      </c>
      <c r="B9" s="129" t="s">
        <v>394</v>
      </c>
      <c r="C9" s="28"/>
      <c r="D9" s="28"/>
      <c r="E9" s="23"/>
      <c r="F9" s="43"/>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9"/>
    </row>
    <row r="10" spans="1:63">
      <c r="A10" s="39" t="s">
        <v>121</v>
      </c>
      <c r="B10" s="130"/>
      <c r="C10" s="28"/>
      <c r="D10" s="28"/>
      <c r="E10" s="57" t="s">
        <v>124</v>
      </c>
      <c r="F10" s="23"/>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8"/>
      <c r="BA10" s="28"/>
      <c r="BB10" s="28"/>
      <c r="BC10" s="28"/>
      <c r="BD10" s="28"/>
      <c r="BE10" s="28"/>
      <c r="BF10" s="28"/>
      <c r="BG10" s="28"/>
      <c r="BH10" s="28"/>
      <c r="BI10" s="28"/>
      <c r="BJ10" s="28"/>
      <c r="BK10" s="29"/>
    </row>
    <row r="11" spans="1:63">
      <c r="A11" s="34" t="s">
        <v>42</v>
      </c>
      <c r="B11" s="131" t="s">
        <v>394</v>
      </c>
      <c r="C11" s="35"/>
      <c r="D11" s="35"/>
      <c r="E11" s="35"/>
      <c r="F11" s="43"/>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6"/>
    </row>
    <row r="12" spans="1:63">
      <c r="A12" s="34" t="s">
        <v>121</v>
      </c>
      <c r="B12" s="132"/>
      <c r="C12" s="35"/>
      <c r="D12" s="35"/>
      <c r="E12" s="57" t="s">
        <v>124</v>
      </c>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6"/>
    </row>
    <row r="13" spans="1:63">
      <c r="A13" s="27" t="s">
        <v>38</v>
      </c>
      <c r="B13" s="129" t="s">
        <v>394</v>
      </c>
      <c r="C13" s="28"/>
      <c r="D13" s="28"/>
      <c r="E13" s="28"/>
      <c r="F13" s="43"/>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9"/>
    </row>
    <row r="14" spans="1:63">
      <c r="A14" s="39" t="s">
        <v>121</v>
      </c>
      <c r="B14" s="130"/>
      <c r="C14" s="28"/>
      <c r="D14" s="28"/>
      <c r="E14" s="57" t="s">
        <v>124</v>
      </c>
      <c r="F14" s="23"/>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9"/>
    </row>
    <row r="15" spans="1:63">
      <c r="A15" s="34" t="s">
        <v>107</v>
      </c>
      <c r="B15" s="131" t="s">
        <v>394</v>
      </c>
      <c r="C15" s="35"/>
      <c r="D15" s="35"/>
      <c r="E15" s="35"/>
      <c r="F15" s="35"/>
      <c r="G15" s="43"/>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6"/>
    </row>
    <row r="16" spans="1:63">
      <c r="A16" s="34" t="s">
        <v>121</v>
      </c>
      <c r="B16" s="132"/>
      <c r="C16" s="35"/>
      <c r="D16" s="35"/>
      <c r="E16" s="78"/>
      <c r="F16" s="78"/>
      <c r="G16" s="57" t="s">
        <v>235</v>
      </c>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6"/>
    </row>
    <row r="17" spans="1:63">
      <c r="A17" s="27" t="s">
        <v>113</v>
      </c>
      <c r="B17" s="129" t="s">
        <v>394</v>
      </c>
      <c r="C17" s="28"/>
      <c r="D17" s="28"/>
      <c r="E17" s="28"/>
      <c r="F17" s="28"/>
      <c r="G17" s="28"/>
      <c r="H17" s="43"/>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9"/>
    </row>
    <row r="18" spans="1:63">
      <c r="A18" s="39" t="s">
        <v>121</v>
      </c>
      <c r="B18" s="130"/>
      <c r="C18" s="28"/>
      <c r="D18" s="28"/>
      <c r="E18" s="28"/>
      <c r="F18" s="28"/>
      <c r="G18" s="57" t="s">
        <v>235</v>
      </c>
      <c r="H18" s="23"/>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9"/>
    </row>
    <row r="19" spans="1:63">
      <c r="A19" s="34" t="s">
        <v>115</v>
      </c>
      <c r="B19" s="131" t="s">
        <v>394</v>
      </c>
      <c r="C19" s="35"/>
      <c r="D19" s="35"/>
      <c r="E19" s="35"/>
      <c r="F19" s="35"/>
      <c r="G19" s="35"/>
      <c r="H19" s="35"/>
      <c r="I19" s="43"/>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6"/>
    </row>
    <row r="20" spans="1:63">
      <c r="A20" s="34" t="s">
        <v>121</v>
      </c>
      <c r="B20" s="132"/>
      <c r="C20" s="35"/>
      <c r="D20" s="35"/>
      <c r="E20" s="35"/>
      <c r="F20" s="35"/>
      <c r="G20" s="57" t="s">
        <v>235</v>
      </c>
      <c r="H20" s="35"/>
      <c r="I20" s="35"/>
      <c r="J20" s="35"/>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6"/>
    </row>
    <row r="21" spans="1:63">
      <c r="A21" s="27" t="s">
        <v>32</v>
      </c>
      <c r="B21" s="129" t="s">
        <v>394</v>
      </c>
      <c r="C21" s="28"/>
      <c r="D21" s="28"/>
      <c r="E21" s="28"/>
      <c r="F21" s="28"/>
      <c r="G21" s="28"/>
      <c r="H21" s="28"/>
      <c r="I21" s="43"/>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9"/>
    </row>
    <row r="22" spans="1:63">
      <c r="A22" s="39" t="s">
        <v>121</v>
      </c>
      <c r="B22" s="130"/>
      <c r="C22" s="28"/>
      <c r="D22" s="28"/>
      <c r="E22" s="28"/>
      <c r="F22" s="28"/>
      <c r="G22" s="57" t="s">
        <v>235</v>
      </c>
      <c r="H22" s="28"/>
      <c r="I22" s="23"/>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9"/>
    </row>
    <row r="23" spans="1:63">
      <c r="A23" s="34" t="s">
        <v>62</v>
      </c>
      <c r="B23" s="131" t="s">
        <v>394</v>
      </c>
      <c r="C23" s="35"/>
      <c r="D23" s="35"/>
      <c r="E23" s="35"/>
      <c r="F23" s="35"/>
      <c r="G23" s="35"/>
      <c r="H23" s="35"/>
      <c r="I23" s="35"/>
      <c r="J23" s="43"/>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6"/>
    </row>
    <row r="24" spans="1:63">
      <c r="A24" s="34" t="s">
        <v>121</v>
      </c>
      <c r="B24" s="132"/>
      <c r="C24" s="35"/>
      <c r="D24" s="35"/>
      <c r="E24" s="35"/>
      <c r="F24" s="35"/>
      <c r="G24" s="35"/>
      <c r="H24" s="57" t="s">
        <v>237</v>
      </c>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6"/>
    </row>
    <row r="25" spans="1:63">
      <c r="A25" s="27" t="s">
        <v>64</v>
      </c>
      <c r="B25" s="129" t="s">
        <v>394</v>
      </c>
      <c r="C25" s="28"/>
      <c r="D25" s="28"/>
      <c r="E25" s="28"/>
      <c r="F25" s="28"/>
      <c r="G25" s="28"/>
      <c r="H25" s="28"/>
      <c r="I25" s="28"/>
      <c r="J25" s="28"/>
      <c r="K25" s="43"/>
      <c r="L25" s="43"/>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9"/>
    </row>
    <row r="26" spans="1:63">
      <c r="A26" s="39" t="s">
        <v>121</v>
      </c>
      <c r="B26" s="130"/>
      <c r="C26" s="28"/>
      <c r="D26" s="28"/>
      <c r="E26" s="28"/>
      <c r="F26" s="28"/>
      <c r="G26" s="28"/>
      <c r="H26" s="28"/>
      <c r="I26" s="28"/>
      <c r="J26" s="28"/>
      <c r="K26" s="78"/>
      <c r="L26" s="78"/>
      <c r="M26" s="23"/>
      <c r="N26" s="78"/>
      <c r="O26" s="116"/>
      <c r="P26" s="116"/>
      <c r="Q26" s="116"/>
      <c r="R26" s="118" t="s">
        <v>309</v>
      </c>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9"/>
    </row>
    <row r="27" spans="1:63">
      <c r="A27" s="34" t="s">
        <v>80</v>
      </c>
      <c r="B27" s="131" t="s">
        <v>394</v>
      </c>
      <c r="C27" s="35"/>
      <c r="D27" s="35"/>
      <c r="E27" s="35"/>
      <c r="F27" s="35"/>
      <c r="G27" s="35"/>
      <c r="H27" s="35"/>
      <c r="I27" s="35"/>
      <c r="J27" s="35"/>
      <c r="K27" s="35"/>
      <c r="L27" s="35"/>
      <c r="M27" s="35"/>
      <c r="N27" s="43"/>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c r="AX27" s="35"/>
      <c r="AY27" s="35"/>
      <c r="AZ27" s="35"/>
      <c r="BA27" s="35"/>
      <c r="BB27" s="35"/>
      <c r="BC27" s="35"/>
      <c r="BD27" s="35"/>
      <c r="BE27" s="35"/>
      <c r="BF27" s="35"/>
      <c r="BG27" s="35"/>
      <c r="BH27" s="35"/>
      <c r="BI27" s="35"/>
      <c r="BJ27" s="35"/>
      <c r="BK27" s="36"/>
    </row>
    <row r="28" spans="1:63">
      <c r="A28" s="34" t="s">
        <v>121</v>
      </c>
      <c r="B28" s="132"/>
      <c r="C28" s="35"/>
      <c r="D28" s="35"/>
      <c r="E28" s="35"/>
      <c r="F28" s="35"/>
      <c r="G28" s="35"/>
      <c r="H28" s="35"/>
      <c r="I28" s="35"/>
      <c r="J28" s="35"/>
      <c r="K28" s="35"/>
      <c r="L28" s="35"/>
      <c r="M28" s="35"/>
      <c r="N28" s="35"/>
      <c r="O28" s="35"/>
      <c r="P28" s="35"/>
      <c r="Q28" s="35"/>
      <c r="R28" s="35"/>
      <c r="S28" s="35"/>
      <c r="T28" s="35"/>
      <c r="U28" s="57" t="s">
        <v>310</v>
      </c>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c r="BJ28" s="35"/>
      <c r="BK28" s="36"/>
    </row>
    <row r="29" spans="1:63">
      <c r="A29" s="27" t="s">
        <v>82</v>
      </c>
      <c r="B29" s="129" t="s">
        <v>394</v>
      </c>
      <c r="C29" s="28"/>
      <c r="D29" s="28"/>
      <c r="E29" s="28"/>
      <c r="F29" s="28"/>
      <c r="G29" s="28"/>
      <c r="H29" s="28"/>
      <c r="I29" s="28"/>
      <c r="J29" s="28"/>
      <c r="K29" s="28"/>
      <c r="L29" s="28"/>
      <c r="M29" s="28"/>
      <c r="N29" s="28"/>
      <c r="O29" s="43"/>
      <c r="P29" s="43"/>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9"/>
    </row>
    <row r="30" spans="1:63">
      <c r="A30" s="39" t="s">
        <v>121</v>
      </c>
      <c r="B30" s="130"/>
      <c r="C30" s="28"/>
      <c r="D30" s="28"/>
      <c r="E30" s="28"/>
      <c r="F30" s="28"/>
      <c r="G30" s="28"/>
      <c r="H30" s="28"/>
      <c r="I30" s="28"/>
      <c r="J30" s="28"/>
      <c r="K30" s="28"/>
      <c r="L30" s="28"/>
      <c r="M30" s="28"/>
      <c r="N30" s="28"/>
      <c r="O30" s="23"/>
      <c r="P30" s="23"/>
      <c r="Q30" s="28"/>
      <c r="R30" s="28"/>
      <c r="S30" s="28"/>
      <c r="T30" s="28"/>
      <c r="U30" s="78"/>
      <c r="V30" s="78"/>
      <c r="W30" s="78"/>
      <c r="X30" s="78"/>
      <c r="Y30" s="78"/>
      <c r="Z30" s="118" t="s">
        <v>394</v>
      </c>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9"/>
    </row>
    <row r="31" spans="1:63">
      <c r="A31" s="34" t="s">
        <v>84</v>
      </c>
      <c r="B31" s="131" t="s">
        <v>601</v>
      </c>
      <c r="C31" s="35"/>
      <c r="D31" s="35"/>
      <c r="E31" s="35"/>
      <c r="F31" s="35"/>
      <c r="G31" s="35"/>
      <c r="H31" s="35"/>
      <c r="I31" s="35"/>
      <c r="J31" s="35"/>
      <c r="K31" s="35"/>
      <c r="L31" s="35"/>
      <c r="M31" s="35"/>
      <c r="N31" s="35"/>
      <c r="O31" s="35"/>
      <c r="P31" s="35"/>
      <c r="Q31" s="43"/>
      <c r="R31" s="43"/>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6"/>
    </row>
    <row r="32" spans="1:63">
      <c r="A32" s="34" t="s">
        <v>121</v>
      </c>
      <c r="B32" s="132"/>
      <c r="C32" s="35"/>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E32" s="35"/>
      <c r="AF32" s="35"/>
      <c r="AG32" s="35"/>
      <c r="AH32" s="78"/>
      <c r="AI32" s="78"/>
      <c r="AJ32" s="78"/>
      <c r="AK32" s="78"/>
      <c r="AL32" s="78"/>
      <c r="AM32" s="78"/>
      <c r="AN32" s="118" t="s">
        <v>601</v>
      </c>
      <c r="AO32" s="35"/>
      <c r="AP32" s="35"/>
      <c r="AQ32" s="35"/>
      <c r="AR32" s="35"/>
      <c r="AS32" s="35"/>
      <c r="AT32" s="35"/>
      <c r="AU32" s="35"/>
      <c r="AV32" s="35"/>
      <c r="AW32" s="35"/>
      <c r="AX32" s="35"/>
      <c r="AY32" s="35"/>
      <c r="AZ32" s="35"/>
      <c r="BA32" s="35"/>
      <c r="BB32" s="35"/>
      <c r="BC32" s="35"/>
      <c r="BD32" s="35"/>
      <c r="BE32" s="35"/>
      <c r="BF32" s="35"/>
      <c r="BG32" s="35"/>
      <c r="BH32" s="35"/>
      <c r="BI32" s="35"/>
      <c r="BJ32" s="35"/>
      <c r="BK32" s="36"/>
    </row>
    <row r="33" spans="1:63">
      <c r="A33" s="27" t="s">
        <v>25</v>
      </c>
      <c r="B33" s="129" t="s">
        <v>394</v>
      </c>
      <c r="C33" s="28"/>
      <c r="D33" s="28"/>
      <c r="E33" s="28"/>
      <c r="F33" s="28"/>
      <c r="G33" s="28"/>
      <c r="H33" s="28"/>
      <c r="I33" s="28"/>
      <c r="J33" s="28"/>
      <c r="K33" s="28"/>
      <c r="L33" s="28"/>
      <c r="M33" s="28"/>
      <c r="N33" s="28"/>
      <c r="O33" s="28"/>
      <c r="P33" s="28"/>
      <c r="Q33" s="28"/>
      <c r="R33" s="28"/>
      <c r="S33" s="43"/>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9"/>
    </row>
    <row r="34" spans="1:63">
      <c r="A34" s="39" t="s">
        <v>121</v>
      </c>
      <c r="B34" s="130"/>
      <c r="C34" s="28"/>
      <c r="D34" s="28"/>
      <c r="E34" s="28"/>
      <c r="F34" s="57" t="s">
        <v>220</v>
      </c>
      <c r="G34" s="28"/>
      <c r="H34" s="28"/>
      <c r="I34" s="28"/>
      <c r="J34" s="28"/>
      <c r="K34" s="28"/>
      <c r="L34" s="28"/>
      <c r="M34" s="28"/>
      <c r="N34" s="28"/>
      <c r="O34" s="28"/>
      <c r="P34" s="28"/>
      <c r="Q34" s="28"/>
      <c r="R34" s="28"/>
      <c r="S34" s="23"/>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9"/>
    </row>
    <row r="35" spans="1:63">
      <c r="A35" s="34" t="s">
        <v>44</v>
      </c>
      <c r="B35" s="131" t="s">
        <v>394</v>
      </c>
      <c r="C35" s="35"/>
      <c r="D35" s="35"/>
      <c r="E35" s="35"/>
      <c r="F35" s="35"/>
      <c r="G35" s="35"/>
      <c r="H35" s="35"/>
      <c r="I35" s="35"/>
      <c r="J35" s="35"/>
      <c r="K35" s="35"/>
      <c r="L35" s="35"/>
      <c r="M35" s="35"/>
      <c r="N35" s="35"/>
      <c r="O35" s="35"/>
      <c r="P35" s="35"/>
      <c r="Q35" s="35"/>
      <c r="R35" s="35"/>
      <c r="S35" s="43"/>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5"/>
      <c r="BK35" s="36"/>
    </row>
    <row r="36" spans="1:63">
      <c r="A36" s="34" t="s">
        <v>121</v>
      </c>
      <c r="B36" s="132"/>
      <c r="C36" s="35"/>
      <c r="D36" s="35"/>
      <c r="E36" s="35"/>
      <c r="F36" s="57" t="s">
        <v>220</v>
      </c>
      <c r="G36" s="35"/>
      <c r="H36" s="35"/>
      <c r="I36" s="35"/>
      <c r="J36" s="35"/>
      <c r="K36" s="35"/>
      <c r="L36" s="35"/>
      <c r="M36" s="35"/>
      <c r="N36" s="35"/>
      <c r="O36" s="35"/>
      <c r="P36" s="35"/>
      <c r="Q36" s="35"/>
      <c r="R36" s="35"/>
      <c r="S36" s="35"/>
      <c r="T36" s="35"/>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6"/>
    </row>
    <row r="37" spans="1:63">
      <c r="A37" s="27" t="s">
        <v>46</v>
      </c>
      <c r="B37" s="129" t="s">
        <v>394</v>
      </c>
      <c r="C37" s="28"/>
      <c r="D37" s="28"/>
      <c r="E37" s="28"/>
      <c r="F37" s="28"/>
      <c r="G37" s="28"/>
      <c r="H37" s="28"/>
      <c r="I37" s="28"/>
      <c r="J37" s="28"/>
      <c r="K37" s="28"/>
      <c r="L37" s="28"/>
      <c r="M37" s="28"/>
      <c r="N37" s="28"/>
      <c r="O37" s="28"/>
      <c r="P37" s="28"/>
      <c r="Q37" s="28"/>
      <c r="R37" s="28"/>
      <c r="S37" s="43"/>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9"/>
    </row>
    <row r="38" spans="1:63">
      <c r="A38" s="39" t="s">
        <v>121</v>
      </c>
      <c r="B38" s="130"/>
      <c r="C38" s="28"/>
      <c r="D38" s="28"/>
      <c r="E38" s="28"/>
      <c r="F38" s="57" t="s">
        <v>220</v>
      </c>
      <c r="G38" s="28"/>
      <c r="H38" s="28"/>
      <c r="I38" s="28"/>
      <c r="J38" s="28"/>
      <c r="K38" s="28"/>
      <c r="L38" s="28"/>
      <c r="M38" s="28"/>
      <c r="N38" s="28"/>
      <c r="O38" s="28"/>
      <c r="P38" s="28"/>
      <c r="Q38" s="28"/>
      <c r="R38" s="28"/>
      <c r="S38" s="23"/>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9"/>
    </row>
    <row r="39" spans="1:63">
      <c r="A39" s="34" t="s">
        <v>105</v>
      </c>
      <c r="B39" s="131" t="s">
        <v>394</v>
      </c>
      <c r="C39" s="35"/>
      <c r="D39" s="35"/>
      <c r="E39" s="35"/>
      <c r="F39" s="35"/>
      <c r="G39" s="35"/>
      <c r="H39" s="35"/>
      <c r="I39" s="35"/>
      <c r="J39" s="35"/>
      <c r="K39" s="35"/>
      <c r="L39" s="35"/>
      <c r="M39" s="35"/>
      <c r="N39" s="35"/>
      <c r="O39" s="35"/>
      <c r="P39" s="35"/>
      <c r="Q39" s="35"/>
      <c r="R39" s="35"/>
      <c r="S39" s="35"/>
      <c r="T39" s="35"/>
      <c r="U39" s="43"/>
      <c r="V39" s="35"/>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c r="BJ39" s="35"/>
      <c r="BK39" s="36"/>
    </row>
    <row r="40" spans="1:63">
      <c r="A40" s="34" t="s">
        <v>121</v>
      </c>
      <c r="B40" s="132"/>
      <c r="C40" s="35"/>
      <c r="D40" s="35"/>
      <c r="E40" s="35"/>
      <c r="F40" s="57" t="s">
        <v>220</v>
      </c>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6"/>
    </row>
    <row r="41" spans="1:63">
      <c r="A41" s="27" t="s">
        <v>67</v>
      </c>
      <c r="B41" s="129" t="s">
        <v>439</v>
      </c>
      <c r="C41" s="28"/>
      <c r="D41" s="28"/>
      <c r="E41" s="28"/>
      <c r="F41" s="28"/>
      <c r="G41" s="28"/>
      <c r="H41" s="28"/>
      <c r="I41" s="28"/>
      <c r="J41" s="28"/>
      <c r="K41" s="28"/>
      <c r="L41" s="28"/>
      <c r="M41" s="28"/>
      <c r="N41" s="28"/>
      <c r="O41" s="28"/>
      <c r="P41" s="28"/>
      <c r="Q41" s="28"/>
      <c r="R41" s="28"/>
      <c r="S41" s="28"/>
      <c r="T41" s="28"/>
      <c r="U41" s="28"/>
      <c r="V41" s="43"/>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28"/>
      <c r="BJ41" s="28"/>
      <c r="BK41" s="29"/>
    </row>
    <row r="42" spans="1:63">
      <c r="A42" s="39" t="s">
        <v>121</v>
      </c>
      <c r="B42" s="130"/>
      <c r="C42" s="28"/>
      <c r="D42" s="28"/>
      <c r="E42" s="28"/>
      <c r="F42" s="28"/>
      <c r="G42" s="28"/>
      <c r="H42" s="28"/>
      <c r="I42" s="28"/>
      <c r="J42" s="28"/>
      <c r="K42" s="28"/>
      <c r="L42" s="28"/>
      <c r="M42" s="28"/>
      <c r="N42" s="28"/>
      <c r="O42" s="28"/>
      <c r="P42" s="28"/>
      <c r="Q42" s="28"/>
      <c r="R42" s="28"/>
      <c r="S42" s="28"/>
      <c r="T42" s="28"/>
      <c r="U42" s="28"/>
      <c r="V42" s="23"/>
      <c r="W42" s="28"/>
      <c r="X42" s="28"/>
      <c r="Y42" s="28"/>
      <c r="Z42" s="28"/>
      <c r="AA42" s="28"/>
      <c r="AB42" s="57" t="s">
        <v>439</v>
      </c>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9"/>
    </row>
    <row r="43" spans="1:63">
      <c r="A43" s="34" t="s">
        <v>69</v>
      </c>
      <c r="B43" s="131" t="s">
        <v>601</v>
      </c>
      <c r="C43" s="35"/>
      <c r="D43" s="35"/>
      <c r="E43" s="35"/>
      <c r="F43" s="35"/>
      <c r="G43" s="35"/>
      <c r="H43" s="35"/>
      <c r="I43" s="35"/>
      <c r="J43" s="35"/>
      <c r="K43" s="35"/>
      <c r="L43" s="35"/>
      <c r="M43" s="35"/>
      <c r="N43" s="35"/>
      <c r="O43" s="35"/>
      <c r="P43" s="35"/>
      <c r="Q43" s="35"/>
      <c r="R43" s="35"/>
      <c r="S43" s="35"/>
      <c r="T43" s="35"/>
      <c r="U43" s="35"/>
      <c r="V43" s="35"/>
      <c r="W43" s="43"/>
      <c r="X43" s="43"/>
      <c r="Y43" s="35"/>
      <c r="Z43" s="35"/>
      <c r="AA43" s="35"/>
      <c r="AB43" s="35"/>
      <c r="AC43" s="35"/>
      <c r="AD43" s="35"/>
      <c r="AE43" s="35"/>
      <c r="AF43" s="35"/>
      <c r="AG43" s="35"/>
      <c r="AH43" s="35"/>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6"/>
    </row>
    <row r="44" spans="1:63">
      <c r="A44" s="34" t="s">
        <v>121</v>
      </c>
      <c r="B44" s="132"/>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78"/>
      <c r="AC44" s="78"/>
      <c r="AD44" s="78"/>
      <c r="AE44" s="78"/>
      <c r="AF44" s="78"/>
      <c r="AG44" s="78"/>
      <c r="AH44" s="78"/>
      <c r="AI44" s="78"/>
      <c r="AJ44" s="78"/>
      <c r="AK44" s="78"/>
      <c r="AL44" s="78"/>
      <c r="AM44" s="78"/>
      <c r="AN44" s="118" t="s">
        <v>601</v>
      </c>
      <c r="AO44" s="35"/>
      <c r="AP44" s="35"/>
      <c r="AQ44" s="35"/>
      <c r="AR44" s="35"/>
      <c r="AS44" s="35"/>
      <c r="AT44" s="35"/>
      <c r="AU44" s="35"/>
      <c r="AV44" s="35"/>
      <c r="AW44" s="35"/>
      <c r="AX44" s="35"/>
      <c r="AY44" s="35"/>
      <c r="AZ44" s="35"/>
      <c r="BA44" s="35"/>
      <c r="BB44" s="35"/>
      <c r="BC44" s="35"/>
      <c r="BD44" s="35"/>
      <c r="BE44" s="35"/>
      <c r="BF44" s="35"/>
      <c r="BG44" s="35"/>
      <c r="BH44" s="35"/>
      <c r="BI44" s="35"/>
      <c r="BJ44" s="35"/>
      <c r="BK44" s="36"/>
    </row>
    <row r="45" spans="1:63">
      <c r="A45" s="27" t="s">
        <v>71</v>
      </c>
      <c r="B45" s="129" t="s">
        <v>601</v>
      </c>
      <c r="C45" s="28"/>
      <c r="D45" s="28"/>
      <c r="E45" s="28"/>
      <c r="F45" s="28"/>
      <c r="G45" s="28"/>
      <c r="H45" s="28"/>
      <c r="I45" s="28"/>
      <c r="J45" s="28"/>
      <c r="K45" s="28"/>
      <c r="L45" s="28"/>
      <c r="M45" s="28"/>
      <c r="N45" s="28"/>
      <c r="O45" s="28"/>
      <c r="P45" s="28"/>
      <c r="Q45" s="28"/>
      <c r="R45" s="28"/>
      <c r="S45" s="28"/>
      <c r="T45" s="28"/>
      <c r="U45" s="28"/>
      <c r="V45" s="28"/>
      <c r="W45" s="28"/>
      <c r="X45" s="28"/>
      <c r="Y45" s="43"/>
      <c r="Z45" s="43"/>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9"/>
    </row>
    <row r="46" spans="1:63">
      <c r="A46" s="39" t="s">
        <v>121</v>
      </c>
      <c r="B46" s="130"/>
      <c r="C46" s="28"/>
      <c r="D46" s="28"/>
      <c r="E46" s="28"/>
      <c r="F46" s="28"/>
      <c r="G46" s="28"/>
      <c r="H46" s="28"/>
      <c r="I46" s="28"/>
      <c r="J46" s="28"/>
      <c r="K46" s="28"/>
      <c r="L46" s="28"/>
      <c r="M46" s="28"/>
      <c r="N46" s="28"/>
      <c r="O46" s="28"/>
      <c r="P46" s="28"/>
      <c r="Q46" s="28"/>
      <c r="R46" s="28"/>
      <c r="S46" s="28"/>
      <c r="T46" s="28"/>
      <c r="U46" s="28"/>
      <c r="V46" s="28"/>
      <c r="W46" s="28"/>
      <c r="X46" s="28"/>
      <c r="Y46" s="23"/>
      <c r="Z46" s="23"/>
      <c r="AA46" s="28"/>
      <c r="AB46" s="28"/>
      <c r="AC46" s="28"/>
      <c r="AD46" s="28"/>
      <c r="AE46" s="28"/>
      <c r="AF46" s="28"/>
      <c r="AG46" s="28"/>
      <c r="AH46" s="78"/>
      <c r="AI46" s="78"/>
      <c r="AJ46" s="78"/>
      <c r="AK46" s="78"/>
      <c r="AL46" s="78"/>
      <c r="AM46" s="78"/>
      <c r="AN46" s="118" t="s">
        <v>601</v>
      </c>
      <c r="AO46" s="28"/>
      <c r="AP46" s="28"/>
      <c r="AQ46" s="28"/>
      <c r="AR46" s="28"/>
      <c r="AS46" s="28"/>
      <c r="AT46" s="28"/>
      <c r="AU46" s="28"/>
      <c r="AV46" s="28"/>
      <c r="AW46" s="28"/>
      <c r="AX46" s="28"/>
      <c r="AY46" s="28"/>
      <c r="AZ46" s="28"/>
      <c r="BA46" s="28"/>
      <c r="BB46" s="28"/>
      <c r="BC46" s="28"/>
      <c r="BD46" s="28"/>
      <c r="BE46" s="28"/>
      <c r="BF46" s="28"/>
      <c r="BG46" s="28"/>
      <c r="BH46" s="28"/>
      <c r="BI46" s="28"/>
      <c r="BJ46" s="28"/>
      <c r="BK46" s="29"/>
    </row>
    <row r="47" spans="1:63">
      <c r="A47" s="34" t="s">
        <v>73</v>
      </c>
      <c r="B47" s="131" t="s">
        <v>438</v>
      </c>
      <c r="C47" s="35"/>
      <c r="D47" s="35"/>
      <c r="E47" s="35"/>
      <c r="F47" s="35"/>
      <c r="G47" s="35"/>
      <c r="H47" s="35"/>
      <c r="I47" s="35"/>
      <c r="J47" s="35"/>
      <c r="K47" s="35"/>
      <c r="L47" s="35"/>
      <c r="M47" s="35"/>
      <c r="N47" s="35"/>
      <c r="O47" s="35"/>
      <c r="P47" s="35"/>
      <c r="Q47" s="35"/>
      <c r="R47" s="35"/>
      <c r="S47" s="35"/>
      <c r="T47" s="35"/>
      <c r="U47" s="35"/>
      <c r="V47" s="35"/>
      <c r="W47" s="35"/>
      <c r="X47" s="35"/>
      <c r="Y47" s="35"/>
      <c r="Z47" s="35"/>
      <c r="AA47" s="43"/>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6"/>
    </row>
    <row r="48" spans="1:63">
      <c r="A48" s="34" t="s">
        <v>121</v>
      </c>
      <c r="B48" s="132"/>
      <c r="C48" s="35"/>
      <c r="D48" s="35"/>
      <c r="E48" s="35"/>
      <c r="F48" s="35"/>
      <c r="G48" s="35"/>
      <c r="H48" s="35"/>
      <c r="I48" s="35"/>
      <c r="J48" s="35"/>
      <c r="K48" s="35"/>
      <c r="L48" s="35"/>
      <c r="M48" s="35"/>
      <c r="N48" s="35"/>
      <c r="O48" s="35"/>
      <c r="P48" s="35"/>
      <c r="Q48" s="35"/>
      <c r="R48" s="35"/>
      <c r="S48" s="35"/>
      <c r="T48" s="35"/>
      <c r="U48" s="35"/>
      <c r="V48" s="35"/>
      <c r="W48" s="35"/>
      <c r="X48" s="35"/>
      <c r="Y48" s="35"/>
      <c r="Z48" s="35"/>
      <c r="AA48" s="57" t="s">
        <v>439</v>
      </c>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6"/>
    </row>
    <row r="49" spans="1:63">
      <c r="A49" s="27" t="s">
        <v>75</v>
      </c>
      <c r="B49" s="129" t="s">
        <v>601</v>
      </c>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43"/>
      <c r="AC49" s="43"/>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9"/>
    </row>
    <row r="50" spans="1:63">
      <c r="A50" s="39" t="s">
        <v>121</v>
      </c>
      <c r="B50" s="130"/>
      <c r="C50" s="28"/>
      <c r="D50" s="28"/>
      <c r="E50" s="28"/>
      <c r="F50" s="28"/>
      <c r="G50" s="28"/>
      <c r="H50" s="28"/>
      <c r="I50" s="28"/>
      <c r="J50" s="28"/>
      <c r="K50" s="28"/>
      <c r="L50" s="28"/>
      <c r="M50" s="28"/>
      <c r="N50" s="28"/>
      <c r="O50" s="28"/>
      <c r="P50" s="28"/>
      <c r="Q50" s="28"/>
      <c r="R50" s="28"/>
      <c r="S50" s="28"/>
      <c r="T50" s="28"/>
      <c r="U50" s="28"/>
      <c r="V50" s="28"/>
      <c r="W50" s="28"/>
      <c r="X50" s="28"/>
      <c r="Y50" s="28"/>
      <c r="Z50" s="28"/>
      <c r="AA50" s="78"/>
      <c r="AB50" s="78"/>
      <c r="AC50" s="78"/>
      <c r="AD50" s="78"/>
      <c r="AE50" s="78"/>
      <c r="AF50" s="78"/>
      <c r="AG50" s="78"/>
      <c r="AH50" s="78"/>
      <c r="AI50" s="78"/>
      <c r="AJ50" s="78"/>
      <c r="AK50" s="78"/>
      <c r="AL50" s="78"/>
      <c r="AM50" s="78"/>
      <c r="AN50" s="118" t="s">
        <v>601</v>
      </c>
      <c r="AO50" s="28"/>
      <c r="AP50" s="28"/>
      <c r="AQ50" s="28"/>
      <c r="AR50" s="28"/>
      <c r="AS50" s="28"/>
      <c r="AT50" s="28"/>
      <c r="AU50" s="28"/>
      <c r="AV50" s="28"/>
      <c r="AW50" s="28"/>
      <c r="AX50" s="28"/>
      <c r="AY50" s="28"/>
      <c r="AZ50" s="28"/>
      <c r="BA50" s="28"/>
      <c r="BB50" s="28"/>
      <c r="BC50" s="28"/>
      <c r="BD50" s="28"/>
      <c r="BE50" s="28"/>
      <c r="BF50" s="28"/>
      <c r="BG50" s="28"/>
      <c r="BH50" s="28"/>
      <c r="BI50" s="28"/>
      <c r="BJ50" s="28"/>
      <c r="BK50" s="29"/>
    </row>
    <row r="51" spans="1:63">
      <c r="A51" s="34" t="s">
        <v>77</v>
      </c>
      <c r="B51" s="131" t="s">
        <v>601</v>
      </c>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43"/>
      <c r="AE51" s="43"/>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c r="BJ51" s="35"/>
      <c r="BK51" s="36"/>
    </row>
    <row r="52" spans="1:63">
      <c r="A52" s="34" t="s">
        <v>121</v>
      </c>
      <c r="B52" s="132"/>
      <c r="C52" s="35"/>
      <c r="D52" s="35"/>
      <c r="E52" s="35"/>
      <c r="F52" s="35"/>
      <c r="G52" s="35"/>
      <c r="H52" s="35"/>
      <c r="I52" s="35"/>
      <c r="J52" s="35"/>
      <c r="K52" s="35"/>
      <c r="L52" s="35"/>
      <c r="M52" s="35"/>
      <c r="N52" s="35"/>
      <c r="O52" s="35"/>
      <c r="P52" s="35"/>
      <c r="Q52" s="35"/>
      <c r="R52" s="35"/>
      <c r="S52" s="35"/>
      <c r="T52" s="35"/>
      <c r="U52" s="35"/>
      <c r="V52" s="35"/>
      <c r="W52" s="35"/>
      <c r="X52" s="35"/>
      <c r="Y52" s="35"/>
      <c r="Z52" s="35"/>
      <c r="AA52" s="123"/>
      <c r="AB52" s="123"/>
      <c r="AC52" s="123"/>
      <c r="AD52" s="123"/>
      <c r="AE52" s="123"/>
      <c r="AF52" s="123"/>
      <c r="AG52" s="123"/>
      <c r="AH52" s="78"/>
      <c r="AI52" s="78"/>
      <c r="AJ52" s="78"/>
      <c r="AK52" s="78"/>
      <c r="AL52" s="78"/>
      <c r="AM52" s="78"/>
      <c r="AN52" s="118" t="s">
        <v>601</v>
      </c>
      <c r="AO52" s="35"/>
      <c r="AP52" s="35"/>
      <c r="AQ52" s="35"/>
      <c r="AR52" s="35"/>
      <c r="AS52" s="35"/>
      <c r="AT52" s="35"/>
      <c r="AU52" s="35"/>
      <c r="AV52" s="35"/>
      <c r="AW52" s="35"/>
      <c r="AX52" s="35"/>
      <c r="AY52" s="35"/>
      <c r="AZ52" s="35"/>
      <c r="BA52" s="35"/>
      <c r="BB52" s="35"/>
      <c r="BC52" s="35"/>
      <c r="BD52" s="35"/>
      <c r="BE52" s="35"/>
      <c r="BF52" s="35"/>
      <c r="BG52" s="35"/>
      <c r="BH52" s="35"/>
      <c r="BI52" s="35"/>
      <c r="BJ52" s="35"/>
      <c r="BK52" s="36"/>
    </row>
    <row r="53" spans="1:63">
      <c r="A53" s="27" t="s">
        <v>86</v>
      </c>
      <c r="B53" s="129" t="s">
        <v>660</v>
      </c>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43"/>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9"/>
    </row>
    <row r="54" spans="1:63">
      <c r="A54" s="39" t="s">
        <v>121</v>
      </c>
      <c r="B54" s="130"/>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3"/>
      <c r="AG54" s="28"/>
      <c r="AH54" s="28"/>
      <c r="AI54" s="28"/>
      <c r="AJ54" s="28"/>
      <c r="AK54" s="28"/>
      <c r="AL54" s="28"/>
      <c r="AM54" s="28"/>
      <c r="AN54" s="28"/>
      <c r="AO54" s="28"/>
      <c r="AP54" s="28"/>
      <c r="AQ54" s="57" t="s">
        <v>660</v>
      </c>
      <c r="AR54" s="28"/>
      <c r="AS54" s="28"/>
      <c r="AT54" s="28"/>
      <c r="AU54" s="28"/>
      <c r="AV54" s="28"/>
      <c r="AW54" s="28"/>
      <c r="AX54" s="28"/>
      <c r="AY54" s="28"/>
      <c r="AZ54" s="28"/>
      <c r="BA54" s="28"/>
      <c r="BB54" s="28"/>
      <c r="BC54" s="28"/>
      <c r="BD54" s="28"/>
      <c r="BE54" s="28"/>
      <c r="BF54" s="28"/>
      <c r="BG54" s="28"/>
      <c r="BH54" s="28"/>
      <c r="BI54" s="28"/>
      <c r="BJ54" s="28"/>
      <c r="BK54" s="29"/>
    </row>
    <row r="55" spans="1:63">
      <c r="A55" s="34" t="s">
        <v>88</v>
      </c>
      <c r="B55" s="131" t="s">
        <v>716</v>
      </c>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43"/>
      <c r="AH55" s="43"/>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c r="BJ55" s="35"/>
      <c r="BK55" s="36"/>
    </row>
    <row r="56" spans="1:63">
      <c r="A56" s="34" t="s">
        <v>121</v>
      </c>
      <c r="B56" s="132"/>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78"/>
      <c r="AQ56" s="78"/>
      <c r="AR56" s="78"/>
      <c r="AS56" s="78"/>
      <c r="AT56" s="78"/>
      <c r="AU56" s="57" t="s">
        <v>716</v>
      </c>
      <c r="AV56" s="35"/>
      <c r="AW56" s="35"/>
      <c r="AX56" s="35"/>
      <c r="AY56" s="35"/>
      <c r="AZ56" s="35"/>
      <c r="BA56" s="35"/>
      <c r="BB56" s="35"/>
      <c r="BC56" s="35"/>
      <c r="BD56" s="35"/>
      <c r="BE56" s="35"/>
      <c r="BF56" s="35"/>
      <c r="BG56" s="35"/>
      <c r="BH56" s="35"/>
      <c r="BI56" s="35"/>
      <c r="BJ56" s="35"/>
      <c r="BK56" s="36"/>
    </row>
    <row r="57" spans="1:63">
      <c r="A57" s="27" t="s">
        <v>90</v>
      </c>
      <c r="B57" s="129" t="s">
        <v>716</v>
      </c>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43"/>
      <c r="AJ57" s="43"/>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28"/>
      <c r="BJ57" s="28"/>
      <c r="BK57" s="29"/>
    </row>
    <row r="58" spans="1:63">
      <c r="A58" s="39" t="s">
        <v>121</v>
      </c>
      <c r="B58" s="130"/>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3"/>
      <c r="AJ58" s="23"/>
      <c r="AK58" s="28"/>
      <c r="AL58" s="28"/>
      <c r="AM58" s="28"/>
      <c r="AN58" s="28"/>
      <c r="AO58" s="28"/>
      <c r="AP58" s="28"/>
      <c r="AQ58" s="28"/>
      <c r="AR58" s="28"/>
      <c r="AS58" s="28"/>
      <c r="AT58" s="78"/>
      <c r="AU58" s="57" t="s">
        <v>716</v>
      </c>
      <c r="AV58" s="28"/>
      <c r="AW58" s="28"/>
      <c r="AX58" s="28"/>
      <c r="AY58" s="28"/>
      <c r="AZ58" s="28"/>
      <c r="BA58" s="28"/>
      <c r="BB58" s="28"/>
      <c r="BC58" s="28"/>
      <c r="BD58" s="28"/>
      <c r="BE58" s="28"/>
      <c r="BF58" s="28"/>
      <c r="BG58" s="28"/>
      <c r="BH58" s="28"/>
      <c r="BI58" s="28"/>
      <c r="BJ58" s="28"/>
      <c r="BK58" s="29"/>
    </row>
    <row r="59" spans="1:63">
      <c r="A59" s="34" t="s">
        <v>93</v>
      </c>
      <c r="B59" s="131" t="s">
        <v>875</v>
      </c>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43"/>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6"/>
    </row>
    <row r="60" spans="1:63">
      <c r="A60" s="34" t="s">
        <v>121</v>
      </c>
      <c r="B60" s="132"/>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78"/>
      <c r="AW60" s="57" t="s">
        <v>875</v>
      </c>
      <c r="AX60" s="35"/>
      <c r="AY60" s="35"/>
      <c r="AZ60" s="35"/>
      <c r="BA60" s="35"/>
      <c r="BB60" s="35"/>
      <c r="BC60" s="35"/>
      <c r="BD60" s="35"/>
      <c r="BE60" s="35"/>
      <c r="BF60" s="35"/>
      <c r="BG60" s="35"/>
      <c r="BH60" s="35"/>
      <c r="BI60" s="35"/>
      <c r="BJ60" s="35"/>
      <c r="BK60" s="36"/>
    </row>
    <row r="61" spans="1:63">
      <c r="A61" s="27" t="s">
        <v>95</v>
      </c>
      <c r="B61" s="129" t="s">
        <v>875</v>
      </c>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43"/>
      <c r="AM61" s="43"/>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9"/>
    </row>
    <row r="62" spans="1:63">
      <c r="A62" s="39" t="s">
        <v>121</v>
      </c>
      <c r="B62" s="130"/>
      <c r="C62" s="28"/>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3"/>
      <c r="AM62" s="23"/>
      <c r="AN62" s="28"/>
      <c r="AO62" s="28"/>
      <c r="AP62" s="28"/>
      <c r="AQ62" s="28"/>
      <c r="AR62" s="28"/>
      <c r="AS62" s="28"/>
      <c r="AT62" s="28"/>
      <c r="AU62" s="28"/>
      <c r="AV62" s="28"/>
      <c r="AW62" s="78"/>
      <c r="AX62" s="78"/>
      <c r="AY62" s="78"/>
      <c r="AZ62" s="78"/>
      <c r="BA62" s="78"/>
      <c r="BB62" s="78"/>
      <c r="BC62" s="78"/>
      <c r="BD62" s="78"/>
      <c r="BE62" s="78"/>
      <c r="BF62" s="78"/>
      <c r="BG62" s="78"/>
      <c r="BH62" s="78"/>
      <c r="BI62" s="78"/>
      <c r="BJ62" s="78"/>
      <c r="BK62" s="125" t="s">
        <v>876</v>
      </c>
    </row>
    <row r="63" spans="1:63">
      <c r="A63" s="34" t="s">
        <v>97</v>
      </c>
      <c r="B63" s="131" t="s">
        <v>875</v>
      </c>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43"/>
      <c r="AO63" s="43"/>
      <c r="AP63" s="35"/>
      <c r="AQ63" s="35"/>
      <c r="AR63" s="35"/>
      <c r="AS63" s="35"/>
      <c r="AT63" s="35"/>
      <c r="AU63" s="35"/>
      <c r="AV63" s="35"/>
      <c r="AW63" s="35"/>
      <c r="AX63" s="35"/>
      <c r="AY63" s="35"/>
      <c r="AZ63" s="35"/>
      <c r="BA63" s="35"/>
      <c r="BB63" s="35"/>
      <c r="BC63" s="35"/>
      <c r="BD63" s="35"/>
      <c r="BE63" s="35"/>
      <c r="BF63" s="35"/>
      <c r="BG63" s="35"/>
      <c r="BH63" s="35"/>
      <c r="BI63" s="35"/>
      <c r="BJ63" s="35"/>
      <c r="BK63" s="36"/>
    </row>
    <row r="64" spans="1:63">
      <c r="A64" s="34" t="s">
        <v>121</v>
      </c>
      <c r="B64" s="132"/>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78"/>
      <c r="BJ64" s="78"/>
      <c r="BK64" s="125" t="s">
        <v>876</v>
      </c>
    </row>
    <row r="65" spans="1:63">
      <c r="A65" s="27" t="s">
        <v>48</v>
      </c>
      <c r="B65" s="129"/>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43"/>
      <c r="AQ65" s="28"/>
      <c r="AR65" s="28"/>
      <c r="AS65" s="28"/>
      <c r="AT65" s="28"/>
      <c r="AU65" s="28"/>
      <c r="AV65" s="28"/>
      <c r="AW65" s="28"/>
      <c r="AX65" s="28"/>
      <c r="AY65" s="28"/>
      <c r="AZ65" s="28"/>
      <c r="BA65" s="28"/>
      <c r="BB65" s="28"/>
      <c r="BC65" s="28"/>
      <c r="BD65" s="28"/>
      <c r="BE65" s="28"/>
      <c r="BF65" s="28"/>
      <c r="BG65" s="28"/>
      <c r="BH65" s="28"/>
      <c r="BI65" s="28"/>
      <c r="BJ65" s="28"/>
      <c r="BK65" s="29"/>
    </row>
    <row r="66" spans="1:63">
      <c r="A66" s="39" t="s">
        <v>121</v>
      </c>
      <c r="B66" s="130"/>
      <c r="C66" s="28"/>
      <c r="D66" s="28"/>
      <c r="E66" s="28"/>
      <c r="F66" s="28"/>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3"/>
      <c r="AQ66" s="28"/>
      <c r="AR66" s="28"/>
      <c r="AS66" s="28"/>
      <c r="AT66" s="28"/>
      <c r="AU66" s="28"/>
      <c r="AV66" s="28"/>
      <c r="AW66" s="28"/>
      <c r="AX66" s="28"/>
      <c r="AY66" s="28"/>
      <c r="AZ66" s="28"/>
      <c r="BA66" s="28"/>
      <c r="BB66" s="28"/>
      <c r="BC66" s="28"/>
      <c r="BD66" s="28"/>
      <c r="BE66" s="28"/>
      <c r="BF66" s="28"/>
      <c r="BG66" s="28"/>
      <c r="BH66" s="28"/>
      <c r="BI66" s="28"/>
      <c r="BJ66" s="28"/>
      <c r="BK66" s="29"/>
    </row>
    <row r="67" spans="1:63">
      <c r="A67" s="34" t="s">
        <v>50</v>
      </c>
      <c r="B67" s="131"/>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43"/>
      <c r="AR67" s="43"/>
      <c r="AS67" s="35"/>
      <c r="AT67" s="35"/>
      <c r="AU67" s="35"/>
      <c r="AV67" s="35"/>
      <c r="AW67" s="35"/>
      <c r="AX67" s="35"/>
      <c r="AY67" s="35"/>
      <c r="AZ67" s="35"/>
      <c r="BA67" s="35"/>
      <c r="BB67" s="35"/>
      <c r="BC67" s="35"/>
      <c r="BD67" s="35"/>
      <c r="BE67" s="35"/>
      <c r="BF67" s="35"/>
      <c r="BG67" s="35"/>
      <c r="BH67" s="35"/>
      <c r="BI67" s="35"/>
      <c r="BJ67" s="35"/>
      <c r="BK67" s="36"/>
    </row>
    <row r="68" spans="1:63">
      <c r="A68" s="34" t="s">
        <v>121</v>
      </c>
      <c r="B68" s="132"/>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c r="BJ68" s="35"/>
      <c r="BK68" s="36"/>
    </row>
    <row r="69" spans="1:63">
      <c r="A69" s="27" t="s">
        <v>52</v>
      </c>
      <c r="B69" s="129"/>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S69" s="43"/>
      <c r="AT69" s="43"/>
      <c r="AU69" s="28"/>
      <c r="AV69" s="28"/>
      <c r="AW69" s="28"/>
      <c r="AX69" s="28"/>
      <c r="AY69" s="28"/>
      <c r="AZ69" s="28"/>
      <c r="BA69" s="28"/>
      <c r="BB69" s="28"/>
      <c r="BC69" s="28"/>
      <c r="BD69" s="28"/>
      <c r="BE69" s="28"/>
      <c r="BF69" s="28"/>
      <c r="BG69" s="28"/>
      <c r="BH69" s="28"/>
      <c r="BI69" s="28"/>
      <c r="BJ69" s="28"/>
      <c r="BK69" s="29"/>
    </row>
    <row r="70" spans="1:63">
      <c r="A70" s="39" t="s">
        <v>121</v>
      </c>
      <c r="B70" s="130"/>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3"/>
      <c r="AT70" s="23"/>
      <c r="AU70" s="28"/>
      <c r="AV70" s="28"/>
      <c r="AW70" s="28"/>
      <c r="AX70" s="28"/>
      <c r="AY70" s="28"/>
      <c r="AZ70" s="28"/>
      <c r="BA70" s="28"/>
      <c r="BB70" s="28"/>
      <c r="BC70" s="28"/>
      <c r="BD70" s="28"/>
      <c r="BE70" s="28"/>
      <c r="BF70" s="28"/>
      <c r="BG70" s="28"/>
      <c r="BH70" s="28"/>
      <c r="BI70" s="28"/>
      <c r="BJ70" s="28"/>
      <c r="BK70" s="29"/>
    </row>
    <row r="71" spans="1:63">
      <c r="A71" s="34" t="s">
        <v>55</v>
      </c>
      <c r="B71" s="131"/>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43"/>
      <c r="AV71" s="35"/>
      <c r="AW71" s="35"/>
      <c r="AX71" s="35"/>
      <c r="AY71" s="35"/>
      <c r="AZ71" s="35"/>
      <c r="BA71" s="35"/>
      <c r="BB71" s="35"/>
      <c r="BC71" s="35"/>
      <c r="BD71" s="35"/>
      <c r="BE71" s="35"/>
      <c r="BF71" s="35"/>
      <c r="BG71" s="35"/>
      <c r="BH71" s="35"/>
      <c r="BI71" s="35"/>
      <c r="BJ71" s="35"/>
      <c r="BK71" s="36"/>
    </row>
    <row r="72" spans="1:63">
      <c r="A72" s="34" t="s">
        <v>121</v>
      </c>
      <c r="B72" s="132"/>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c r="BJ72" s="35"/>
      <c r="BK72" s="36"/>
    </row>
    <row r="73" spans="1:63">
      <c r="A73" s="27" t="s">
        <v>57</v>
      </c>
      <c r="B73" s="129"/>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43"/>
      <c r="AW73" s="43"/>
      <c r="AX73" s="28"/>
      <c r="AY73" s="28"/>
      <c r="AZ73" s="28"/>
      <c r="BA73" s="28"/>
      <c r="BB73" s="28"/>
      <c r="BC73" s="28"/>
      <c r="BD73" s="28"/>
      <c r="BE73" s="28"/>
      <c r="BF73" s="28"/>
      <c r="BG73" s="28"/>
      <c r="BH73" s="28"/>
      <c r="BI73" s="28"/>
      <c r="BJ73" s="28"/>
      <c r="BK73" s="29"/>
    </row>
    <row r="74" spans="1:63">
      <c r="A74" s="39" t="s">
        <v>121</v>
      </c>
      <c r="B74" s="130"/>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3"/>
      <c r="AW74" s="23"/>
      <c r="AX74" s="28"/>
      <c r="AY74" s="28"/>
      <c r="AZ74" s="28"/>
      <c r="BA74" s="28"/>
      <c r="BB74" s="28"/>
      <c r="BC74" s="28"/>
      <c r="BD74" s="28"/>
      <c r="BE74" s="28"/>
      <c r="BF74" s="28"/>
      <c r="BG74" s="28"/>
      <c r="BH74" s="28"/>
      <c r="BI74" s="28"/>
      <c r="BJ74" s="28"/>
      <c r="BK74" s="29"/>
    </row>
    <row r="75" spans="1:63">
      <c r="A75" s="34" t="s">
        <v>59</v>
      </c>
      <c r="B75" s="131"/>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43"/>
      <c r="AY75" s="43"/>
      <c r="AZ75" s="35"/>
      <c r="BA75" s="35"/>
      <c r="BB75" s="35"/>
      <c r="BC75" s="35"/>
      <c r="BD75" s="35"/>
      <c r="BE75" s="35"/>
      <c r="BF75" s="35"/>
      <c r="BG75" s="35"/>
      <c r="BH75" s="35"/>
      <c r="BI75" s="35"/>
      <c r="BJ75" s="35"/>
      <c r="BK75" s="36"/>
    </row>
    <row r="76" spans="1:63">
      <c r="A76" s="34" t="s">
        <v>121</v>
      </c>
      <c r="B76" s="132"/>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6"/>
    </row>
    <row r="77" spans="1:63">
      <c r="A77" s="27" t="s">
        <v>99</v>
      </c>
      <c r="B77" s="129" t="s">
        <v>602</v>
      </c>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43"/>
      <c r="BA77" s="28"/>
      <c r="BB77" s="28"/>
      <c r="BC77" s="28"/>
      <c r="BD77" s="28"/>
      <c r="BE77" s="28"/>
      <c r="BF77" s="28"/>
      <c r="BG77" s="28"/>
      <c r="BH77" s="28"/>
      <c r="BI77" s="28"/>
      <c r="BJ77" s="28"/>
      <c r="BK77" s="29"/>
    </row>
    <row r="78" spans="1:63">
      <c r="A78" s="39" t="s">
        <v>121</v>
      </c>
      <c r="B78" s="130"/>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57" t="s">
        <v>602</v>
      </c>
      <c r="AP78" s="28"/>
      <c r="AQ78" s="28"/>
      <c r="AR78" s="28"/>
      <c r="AS78" s="28"/>
      <c r="AT78" s="28"/>
      <c r="AU78" s="28"/>
      <c r="AV78" s="28"/>
      <c r="AW78" s="28"/>
      <c r="AX78" s="28"/>
      <c r="AY78" s="28"/>
      <c r="AZ78" s="23"/>
      <c r="BA78" s="28"/>
      <c r="BB78" s="28"/>
      <c r="BC78" s="28"/>
      <c r="BD78" s="28"/>
      <c r="BE78" s="28"/>
      <c r="BF78" s="28"/>
      <c r="BG78" s="28"/>
      <c r="BH78" s="28"/>
      <c r="BI78" s="28"/>
      <c r="BJ78" s="28"/>
      <c r="BK78" s="29"/>
    </row>
    <row r="79" spans="1:63">
      <c r="A79" s="34" t="s">
        <v>101</v>
      </c>
      <c r="B79" s="131" t="s">
        <v>657</v>
      </c>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43"/>
      <c r="BB79" s="43"/>
      <c r="BC79" s="35"/>
      <c r="BD79" s="35"/>
      <c r="BE79" s="35"/>
      <c r="BF79" s="35"/>
      <c r="BG79" s="35"/>
      <c r="BH79" s="35"/>
      <c r="BI79" s="35"/>
      <c r="BJ79" s="35"/>
      <c r="BK79" s="36"/>
    </row>
    <row r="80" spans="1:63">
      <c r="A80" s="34" t="s">
        <v>121</v>
      </c>
      <c r="B80" s="132"/>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78"/>
      <c r="AP80" s="57" t="s">
        <v>122</v>
      </c>
      <c r="AQ80" s="35"/>
      <c r="AR80" s="35"/>
      <c r="AS80" s="35"/>
      <c r="AT80" s="35"/>
      <c r="AU80" s="35"/>
      <c r="AV80" s="35"/>
      <c r="AW80" s="35"/>
      <c r="AX80" s="35"/>
      <c r="AY80" s="35"/>
      <c r="AZ80" s="35"/>
      <c r="BA80" s="35"/>
      <c r="BB80" s="35"/>
      <c r="BC80" s="35"/>
      <c r="BD80" s="35"/>
      <c r="BE80" s="35"/>
      <c r="BF80" s="35"/>
      <c r="BG80" s="35"/>
      <c r="BH80" s="35"/>
      <c r="BI80" s="35"/>
      <c r="BJ80" s="35"/>
      <c r="BK80" s="36"/>
    </row>
    <row r="81" spans="1:63">
      <c r="A81" s="27" t="s">
        <v>103</v>
      </c>
      <c r="B81" s="129" t="s">
        <v>122</v>
      </c>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28"/>
      <c r="BA81" s="28"/>
      <c r="BB81" s="28"/>
      <c r="BC81" s="43"/>
      <c r="BD81" s="43"/>
      <c r="BE81" s="28"/>
      <c r="BF81" s="28"/>
      <c r="BG81" s="28"/>
      <c r="BH81" s="28"/>
      <c r="BI81" s="28"/>
      <c r="BJ81" s="28"/>
      <c r="BK81" s="29"/>
    </row>
    <row r="82" spans="1:63">
      <c r="A82" s="39" t="s">
        <v>121</v>
      </c>
      <c r="B82" s="130"/>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57" t="s">
        <v>122</v>
      </c>
      <c r="AQ82" s="28"/>
      <c r="AR82" s="28"/>
      <c r="AS82" s="28"/>
      <c r="AT82" s="28"/>
      <c r="AU82" s="28"/>
      <c r="AV82" s="28"/>
      <c r="AW82" s="28"/>
      <c r="AX82" s="28"/>
      <c r="AY82" s="28"/>
      <c r="AZ82" s="28"/>
      <c r="BA82" s="28"/>
      <c r="BB82" s="28"/>
      <c r="BC82" s="23"/>
      <c r="BD82" s="23"/>
      <c r="BE82" s="28"/>
      <c r="BF82" s="28"/>
      <c r="BG82" s="28"/>
      <c r="BH82" s="28"/>
      <c r="BI82" s="28"/>
      <c r="BJ82" s="28"/>
      <c r="BK82" s="29"/>
    </row>
    <row r="83" spans="1:63">
      <c r="A83" s="34" t="s">
        <v>109</v>
      </c>
      <c r="B83" s="131" t="s">
        <v>602</v>
      </c>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43"/>
      <c r="BF83" s="35"/>
      <c r="BG83" s="35"/>
      <c r="BH83" s="35"/>
      <c r="BI83" s="35"/>
      <c r="BJ83" s="35"/>
      <c r="BK83" s="36"/>
    </row>
    <row r="84" spans="1:63">
      <c r="A84" s="34" t="s">
        <v>121</v>
      </c>
      <c r="B84" s="132"/>
      <c r="C84" s="35"/>
      <c r="D84" s="35"/>
      <c r="E84" s="35"/>
      <c r="F84" s="35"/>
      <c r="G84" s="35"/>
      <c r="H84" s="35"/>
      <c r="I84" s="35"/>
      <c r="J84" s="35"/>
      <c r="K84" s="57" t="s">
        <v>602</v>
      </c>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6"/>
    </row>
    <row r="85" spans="1:63">
      <c r="A85" s="27" t="s">
        <v>111</v>
      </c>
      <c r="B85" s="129"/>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28"/>
      <c r="BA85" s="28"/>
      <c r="BB85" s="28"/>
      <c r="BC85" s="28"/>
      <c r="BD85" s="28"/>
      <c r="BE85" s="43"/>
      <c r="BF85" s="28"/>
      <c r="BG85" s="28"/>
      <c r="BH85" s="28"/>
      <c r="BI85" s="28"/>
      <c r="BJ85" s="28"/>
      <c r="BK85" s="29"/>
    </row>
    <row r="86" spans="1:63">
      <c r="A86" s="39" t="s">
        <v>121</v>
      </c>
      <c r="B86" s="130"/>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3"/>
      <c r="BF86" s="28"/>
      <c r="BG86" s="28"/>
      <c r="BH86" s="28"/>
      <c r="BI86" s="28"/>
      <c r="BJ86" s="28"/>
      <c r="BK86" s="29"/>
    </row>
    <row r="87" spans="1:63">
      <c r="A87" s="34" t="s">
        <v>28</v>
      </c>
      <c r="B87" s="131"/>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43"/>
      <c r="BF87" s="35"/>
      <c r="BG87" s="35"/>
      <c r="BH87" s="35"/>
      <c r="BI87" s="35"/>
      <c r="BJ87" s="35"/>
      <c r="BK87" s="36"/>
    </row>
    <row r="88" spans="1:63">
      <c r="A88" s="34" t="s">
        <v>121</v>
      </c>
      <c r="B88" s="132"/>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8"/>
    </row>
    <row r="89" spans="1:63">
      <c r="A89" s="48" t="s">
        <v>118</v>
      </c>
      <c r="B89" s="127" t="s">
        <v>893</v>
      </c>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c r="BF89" s="43"/>
      <c r="BG89" s="43"/>
      <c r="BH89" s="43"/>
      <c r="BI89" s="43"/>
      <c r="BJ89" s="43"/>
      <c r="BK89" s="49"/>
    </row>
    <row r="90" spans="1:63" ht="14" thickBot="1">
      <c r="A90" s="46" t="s">
        <v>120</v>
      </c>
      <c r="B90" s="128"/>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c r="AW90" s="47"/>
      <c r="AX90" s="47"/>
      <c r="AY90" s="47"/>
      <c r="AZ90" s="47"/>
      <c r="BA90" s="47"/>
      <c r="BB90" s="47"/>
      <c r="BC90" s="47"/>
      <c r="BD90" s="47"/>
      <c r="BE90" s="47"/>
      <c r="BF90" s="47"/>
      <c r="BG90" s="47"/>
      <c r="BH90" s="47"/>
      <c r="BI90" s="47"/>
      <c r="BJ90" s="47"/>
      <c r="BK90" s="52"/>
    </row>
  </sheetData>
  <mergeCells count="43">
    <mergeCell ref="B27:B28"/>
    <mergeCell ref="B5:B6"/>
    <mergeCell ref="B7:B8"/>
    <mergeCell ref="B9:B10"/>
    <mergeCell ref="B11:B12"/>
    <mergeCell ref="B13:B14"/>
    <mergeCell ref="B15:B16"/>
    <mergeCell ref="B17:B18"/>
    <mergeCell ref="B19:B20"/>
    <mergeCell ref="B21:B22"/>
    <mergeCell ref="B23:B24"/>
    <mergeCell ref="B25:B26"/>
    <mergeCell ref="B51:B52"/>
    <mergeCell ref="B29:B30"/>
    <mergeCell ref="B33:B34"/>
    <mergeCell ref="B31:B32"/>
    <mergeCell ref="B35:B36"/>
    <mergeCell ref="B37:B38"/>
    <mergeCell ref="B39:B40"/>
    <mergeCell ref="B41:B42"/>
    <mergeCell ref="B43:B44"/>
    <mergeCell ref="B45:B46"/>
    <mergeCell ref="B47:B48"/>
    <mergeCell ref="B49:B50"/>
    <mergeCell ref="B75:B76"/>
    <mergeCell ref="B53:B54"/>
    <mergeCell ref="B55:B56"/>
    <mergeCell ref="B57:B58"/>
    <mergeCell ref="B59:B60"/>
    <mergeCell ref="B61:B62"/>
    <mergeCell ref="B63:B64"/>
    <mergeCell ref="B65:B66"/>
    <mergeCell ref="B67:B68"/>
    <mergeCell ref="B69:B70"/>
    <mergeCell ref="B71:B72"/>
    <mergeCell ref="B73:B74"/>
    <mergeCell ref="B89:B90"/>
    <mergeCell ref="B77:B78"/>
    <mergeCell ref="B79:B80"/>
    <mergeCell ref="B81:B82"/>
    <mergeCell ref="B83:B84"/>
    <mergeCell ref="B85:B86"/>
    <mergeCell ref="B87:B88"/>
  </mergeCells>
  <phoneticPr fontId="1"/>
  <pageMargins left="0.7" right="0.7" top="0.75" bottom="0.75" header="0.3" footer="0.3"/>
  <pageSetup paperSize="9"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E27"/>
  <sheetViews>
    <sheetView workbookViewId="0"/>
  </sheetViews>
  <sheetFormatPr defaultRowHeight="13.3"/>
  <cols>
    <col min="1" max="1" width="26" customWidth="1"/>
    <col min="2" max="2" width="24.25" bestFit="1" customWidth="1"/>
    <col min="3" max="3" width="64.875" bestFit="1" customWidth="1"/>
    <col min="4" max="4" width="23.125" bestFit="1" customWidth="1"/>
    <col min="5" max="5" width="16.25" bestFit="1" customWidth="1"/>
  </cols>
  <sheetData>
    <row r="2" spans="1:5" ht="23.8">
      <c r="A2" s="30" t="s">
        <v>197</v>
      </c>
    </row>
    <row r="3" spans="1:5" ht="14" thickBot="1"/>
    <row r="4" spans="1:5" ht="14" thickBot="1">
      <c r="A4" s="59" t="s">
        <v>134</v>
      </c>
      <c r="B4" s="60" t="s">
        <v>133</v>
      </c>
      <c r="C4" s="60" t="s">
        <v>135</v>
      </c>
      <c r="D4" s="60" t="s">
        <v>20</v>
      </c>
      <c r="E4" s="61" t="s">
        <v>160</v>
      </c>
    </row>
    <row r="5" spans="1:5">
      <c r="A5" s="62" t="s">
        <v>125</v>
      </c>
      <c r="B5" s="63" t="s">
        <v>167</v>
      </c>
      <c r="C5" s="63"/>
      <c r="D5" s="63" t="s">
        <v>136</v>
      </c>
      <c r="E5" s="64" t="s">
        <v>161</v>
      </c>
    </row>
    <row r="6" spans="1:5">
      <c r="A6" s="65" t="s">
        <v>147</v>
      </c>
      <c r="B6" s="66" t="s">
        <v>416</v>
      </c>
      <c r="C6" s="66" t="s">
        <v>168</v>
      </c>
      <c r="D6" s="66" t="s">
        <v>137</v>
      </c>
      <c r="E6" s="67" t="s">
        <v>162</v>
      </c>
    </row>
    <row r="7" spans="1:5">
      <c r="A7" s="65" t="s">
        <v>250</v>
      </c>
      <c r="B7" s="66" t="s">
        <v>417</v>
      </c>
      <c r="C7" s="66" t="s">
        <v>249</v>
      </c>
      <c r="D7" s="66" t="s">
        <v>139</v>
      </c>
      <c r="E7" s="67" t="s">
        <v>164</v>
      </c>
    </row>
    <row r="8" spans="1:5">
      <c r="A8" s="65" t="s">
        <v>148</v>
      </c>
      <c r="B8" s="66" t="s">
        <v>658</v>
      </c>
      <c r="C8" s="66" t="s">
        <v>249</v>
      </c>
      <c r="D8" s="66" t="s">
        <v>138</v>
      </c>
      <c r="E8" s="67" t="s">
        <v>163</v>
      </c>
    </row>
    <row r="9" spans="1:5">
      <c r="A9" s="65" t="s">
        <v>149</v>
      </c>
      <c r="B9" s="66" t="s">
        <v>381</v>
      </c>
      <c r="C9" s="66" t="s">
        <v>249</v>
      </c>
      <c r="D9" s="66" t="s">
        <v>137</v>
      </c>
      <c r="E9" s="67" t="s">
        <v>162</v>
      </c>
    </row>
    <row r="10" spans="1:5">
      <c r="A10" s="65" t="s">
        <v>150</v>
      </c>
      <c r="B10" s="66" t="s">
        <v>144</v>
      </c>
      <c r="C10" s="66"/>
      <c r="D10" s="66" t="s">
        <v>139</v>
      </c>
      <c r="E10" s="67" t="s">
        <v>859</v>
      </c>
    </row>
    <row r="11" spans="1:5">
      <c r="A11" s="65" t="s">
        <v>151</v>
      </c>
      <c r="B11" s="66" t="s">
        <v>418</v>
      </c>
      <c r="C11" s="66"/>
      <c r="D11" s="66" t="s">
        <v>137</v>
      </c>
      <c r="E11" s="67" t="s">
        <v>162</v>
      </c>
    </row>
    <row r="12" spans="1:5">
      <c r="A12" s="65" t="s">
        <v>152</v>
      </c>
      <c r="B12" s="66" t="s">
        <v>548</v>
      </c>
      <c r="C12" s="66" t="s">
        <v>130</v>
      </c>
      <c r="D12" s="66" t="s">
        <v>137</v>
      </c>
      <c r="E12" s="67" t="s">
        <v>162</v>
      </c>
    </row>
    <row r="13" spans="1:5">
      <c r="A13" s="65" t="s">
        <v>153</v>
      </c>
      <c r="B13" s="66" t="s">
        <v>145</v>
      </c>
      <c r="C13" s="66"/>
      <c r="D13" s="66" t="s">
        <v>140</v>
      </c>
      <c r="E13" s="67" t="s">
        <v>165</v>
      </c>
    </row>
    <row r="14" spans="1:5">
      <c r="A14" s="65" t="s">
        <v>154</v>
      </c>
      <c r="B14" s="66" t="s">
        <v>219</v>
      </c>
      <c r="C14" s="66" t="s">
        <v>166</v>
      </c>
      <c r="D14" s="66" t="s">
        <v>216</v>
      </c>
      <c r="E14" s="67" t="s">
        <v>217</v>
      </c>
    </row>
    <row r="15" spans="1:5">
      <c r="A15" s="65" t="s">
        <v>155</v>
      </c>
      <c r="B15" s="66" t="s">
        <v>146</v>
      </c>
      <c r="C15" s="66" t="s">
        <v>166</v>
      </c>
      <c r="D15" s="66" t="s">
        <v>221</v>
      </c>
      <c r="E15" s="67" t="s">
        <v>218</v>
      </c>
    </row>
    <row r="16" spans="1:5">
      <c r="A16" s="65" t="s">
        <v>156</v>
      </c>
      <c r="B16" s="66" t="s">
        <v>291</v>
      </c>
      <c r="C16" s="66" t="s">
        <v>166</v>
      </c>
      <c r="D16" s="66" t="s">
        <v>419</v>
      </c>
      <c r="E16" s="67" t="s">
        <v>162</v>
      </c>
    </row>
    <row r="17" spans="1:5">
      <c r="A17" s="68" t="s">
        <v>126</v>
      </c>
      <c r="B17" s="69" t="s">
        <v>169</v>
      </c>
      <c r="C17" s="69"/>
      <c r="D17" s="69" t="s">
        <v>136</v>
      </c>
      <c r="E17" s="70"/>
    </row>
    <row r="18" spans="1:5">
      <c r="A18" s="104" t="s">
        <v>263</v>
      </c>
      <c r="B18" s="105" t="s">
        <v>258</v>
      </c>
      <c r="C18" s="69" t="s">
        <v>168</v>
      </c>
      <c r="D18" s="69" t="s">
        <v>137</v>
      </c>
      <c r="E18" s="70" t="s">
        <v>162</v>
      </c>
    </row>
    <row r="19" spans="1:5">
      <c r="A19" s="68" t="s">
        <v>250</v>
      </c>
      <c r="B19" s="69" t="s">
        <v>705</v>
      </c>
      <c r="C19" s="69" t="s">
        <v>256</v>
      </c>
      <c r="D19" s="69" t="s">
        <v>257</v>
      </c>
      <c r="E19" s="70" t="s">
        <v>262</v>
      </c>
    </row>
    <row r="20" spans="1:5">
      <c r="A20" s="71" t="s">
        <v>127</v>
      </c>
      <c r="B20" s="69" t="s">
        <v>659</v>
      </c>
      <c r="C20" s="69" t="s">
        <v>256</v>
      </c>
      <c r="D20" s="69" t="s">
        <v>137</v>
      </c>
      <c r="E20" s="70" t="s">
        <v>162</v>
      </c>
    </row>
    <row r="21" spans="1:5">
      <c r="A21" s="71" t="s">
        <v>128</v>
      </c>
      <c r="B21" s="69" t="s">
        <v>706</v>
      </c>
      <c r="C21" s="69" t="s">
        <v>256</v>
      </c>
      <c r="D21" s="69" t="s">
        <v>141</v>
      </c>
      <c r="E21" s="70" t="s">
        <v>675</v>
      </c>
    </row>
    <row r="22" spans="1:5">
      <c r="A22" s="72" t="s">
        <v>132</v>
      </c>
      <c r="B22" s="73" t="s">
        <v>609</v>
      </c>
      <c r="C22" s="73"/>
      <c r="D22" s="73" t="s">
        <v>142</v>
      </c>
      <c r="E22" s="74"/>
    </row>
    <row r="23" spans="1:5">
      <c r="A23" s="72" t="s">
        <v>157</v>
      </c>
      <c r="B23" s="73" t="s">
        <v>646</v>
      </c>
      <c r="C23" s="73" t="s">
        <v>129</v>
      </c>
      <c r="D23" s="73" t="s">
        <v>140</v>
      </c>
      <c r="E23" s="74" t="s">
        <v>170</v>
      </c>
    </row>
    <row r="24" spans="1:5">
      <c r="A24" s="72" t="s">
        <v>158</v>
      </c>
      <c r="B24" s="73" t="s">
        <v>642</v>
      </c>
      <c r="C24" s="73"/>
      <c r="D24" s="73" t="s">
        <v>143</v>
      </c>
      <c r="E24" s="74" t="s">
        <v>288</v>
      </c>
    </row>
    <row r="25" spans="1:5">
      <c r="A25" s="110" t="s">
        <v>159</v>
      </c>
      <c r="B25" s="111" t="s">
        <v>643</v>
      </c>
      <c r="C25" s="111" t="s">
        <v>131</v>
      </c>
      <c r="D25" s="111" t="s">
        <v>286</v>
      </c>
      <c r="E25" s="112" t="s">
        <v>163</v>
      </c>
    </row>
    <row r="26" spans="1:5">
      <c r="A26" s="73" t="s">
        <v>283</v>
      </c>
      <c r="B26" s="73" t="s">
        <v>644</v>
      </c>
      <c r="C26" s="111"/>
      <c r="D26" s="111" t="s">
        <v>607</v>
      </c>
      <c r="E26" s="112" t="s">
        <v>287</v>
      </c>
    </row>
    <row r="27" spans="1:5" ht="14" thickBot="1">
      <c r="A27" s="75" t="s">
        <v>284</v>
      </c>
      <c r="B27" s="75" t="s">
        <v>645</v>
      </c>
      <c r="C27" s="75"/>
      <c r="D27" s="75" t="s">
        <v>608</v>
      </c>
      <c r="E27" s="76" t="s">
        <v>288</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M60"/>
  <sheetViews>
    <sheetView workbookViewId="0"/>
  </sheetViews>
  <sheetFormatPr defaultRowHeight="13.3"/>
  <cols>
    <col min="1" max="1" width="15.375" bestFit="1" customWidth="1"/>
    <col min="2" max="2" width="60" bestFit="1" customWidth="1"/>
  </cols>
  <sheetData>
    <row r="2" spans="1:13" ht="23.8">
      <c r="A2" s="30" t="s">
        <v>198</v>
      </c>
    </row>
    <row r="3" spans="1:13" ht="14" thickBot="1">
      <c r="A3" s="79"/>
    </row>
    <row r="4" spans="1:13">
      <c r="A4" s="5" t="s">
        <v>254</v>
      </c>
      <c r="B4" s="10" t="s">
        <v>183</v>
      </c>
      <c r="C4" s="87" t="s">
        <v>240</v>
      </c>
      <c r="D4" s="87"/>
      <c r="E4" s="87"/>
      <c r="F4" s="87"/>
      <c r="G4" s="87"/>
      <c r="H4" s="87"/>
      <c r="I4" s="87"/>
      <c r="J4" s="87"/>
      <c r="K4" s="87"/>
      <c r="L4" s="87"/>
      <c r="M4" s="88"/>
    </row>
    <row r="5" spans="1:13">
      <c r="A5" s="6"/>
      <c r="B5" s="11"/>
      <c r="C5" s="7" t="s">
        <v>171</v>
      </c>
      <c r="D5" s="7"/>
      <c r="E5" s="7"/>
      <c r="F5" s="7"/>
      <c r="G5" s="7"/>
      <c r="H5" s="7"/>
      <c r="I5" s="7"/>
      <c r="J5" s="7"/>
      <c r="K5" s="7"/>
      <c r="L5" s="7"/>
      <c r="M5" s="95"/>
    </row>
    <row r="6" spans="1:13">
      <c r="A6" s="6"/>
      <c r="B6" s="11"/>
      <c r="C6" s="7" t="s">
        <v>172</v>
      </c>
      <c r="D6" s="7"/>
      <c r="E6" s="7"/>
      <c r="F6" s="7"/>
      <c r="G6" s="7"/>
      <c r="H6" s="7"/>
      <c r="I6" s="7"/>
      <c r="J6" s="7"/>
      <c r="K6" s="7"/>
      <c r="L6" s="7"/>
      <c r="M6" s="95"/>
    </row>
    <row r="7" spans="1:13">
      <c r="A7" s="6"/>
      <c r="B7" s="11"/>
      <c r="C7" s="7" t="s">
        <v>239</v>
      </c>
      <c r="D7" s="7"/>
      <c r="E7" s="7"/>
      <c r="F7" s="7"/>
      <c r="G7" s="7"/>
      <c r="H7" s="7"/>
      <c r="I7" s="7"/>
      <c r="J7" s="7"/>
      <c r="K7" s="7"/>
      <c r="L7" s="7"/>
      <c r="M7" s="95"/>
    </row>
    <row r="8" spans="1:13">
      <c r="A8" s="6"/>
      <c r="B8" s="11"/>
      <c r="C8" s="7" t="s">
        <v>173</v>
      </c>
      <c r="D8" s="7"/>
      <c r="E8" s="7"/>
      <c r="F8" s="7"/>
      <c r="G8" s="7"/>
      <c r="H8" s="7"/>
      <c r="I8" s="7"/>
      <c r="J8" s="7"/>
      <c r="K8" s="7"/>
      <c r="L8" s="7"/>
      <c r="M8" s="95"/>
    </row>
    <row r="9" spans="1:13">
      <c r="A9" s="6"/>
      <c r="B9" s="11"/>
      <c r="C9" s="7" t="s">
        <v>174</v>
      </c>
      <c r="D9" s="7"/>
      <c r="E9" s="7"/>
      <c r="F9" s="7"/>
      <c r="G9" s="7"/>
      <c r="H9" s="7"/>
      <c r="I9" s="7"/>
      <c r="J9" s="7"/>
      <c r="K9" s="7"/>
      <c r="L9" s="7"/>
      <c r="M9" s="95"/>
    </row>
    <row r="10" spans="1:13">
      <c r="A10" s="6"/>
      <c r="B10" s="11"/>
      <c r="C10" s="7" t="s">
        <v>175</v>
      </c>
      <c r="D10" s="7"/>
      <c r="E10" s="7"/>
      <c r="F10" s="7"/>
      <c r="G10" s="7"/>
      <c r="H10" s="7"/>
      <c r="I10" s="7"/>
      <c r="J10" s="7"/>
      <c r="K10" s="7"/>
      <c r="L10" s="7"/>
      <c r="M10" s="95"/>
    </row>
    <row r="11" spans="1:13">
      <c r="A11" s="6"/>
      <c r="B11" s="11"/>
      <c r="C11" s="7" t="s">
        <v>176</v>
      </c>
      <c r="D11" s="7"/>
      <c r="E11" s="7"/>
      <c r="F11" s="7"/>
      <c r="G11" s="7"/>
      <c r="H11" s="7"/>
      <c r="I11" s="7"/>
      <c r="J11" s="7"/>
      <c r="K11" s="7"/>
      <c r="L11" s="7"/>
      <c r="M11" s="95"/>
    </row>
    <row r="12" spans="1:13">
      <c r="A12" s="6"/>
      <c r="B12" s="11"/>
      <c r="C12" s="7" t="s">
        <v>177</v>
      </c>
      <c r="D12" s="7"/>
      <c r="E12" s="7"/>
      <c r="F12" s="7"/>
      <c r="G12" s="7"/>
      <c r="H12" s="7"/>
      <c r="I12" s="7"/>
      <c r="J12" s="7"/>
      <c r="K12" s="7"/>
      <c r="L12" s="7"/>
      <c r="M12" s="95"/>
    </row>
    <row r="13" spans="1:13">
      <c r="A13" s="6"/>
      <c r="B13" s="11"/>
      <c r="C13" s="7" t="s">
        <v>178</v>
      </c>
      <c r="D13" s="7"/>
      <c r="E13" s="7"/>
      <c r="F13" s="7"/>
      <c r="G13" s="7"/>
      <c r="H13" s="7"/>
      <c r="I13" s="7"/>
      <c r="J13" s="7"/>
      <c r="K13" s="7"/>
      <c r="L13" s="7"/>
      <c r="M13" s="95"/>
    </row>
    <row r="14" spans="1:13">
      <c r="A14" s="6"/>
      <c r="B14" s="11"/>
      <c r="C14" s="7" t="s">
        <v>179</v>
      </c>
      <c r="D14" s="7"/>
      <c r="E14" s="7"/>
      <c r="F14" s="7"/>
      <c r="G14" s="7"/>
      <c r="H14" s="7"/>
      <c r="I14" s="7"/>
      <c r="J14" s="7"/>
      <c r="K14" s="7"/>
      <c r="L14" s="7"/>
      <c r="M14" s="95"/>
    </row>
    <row r="15" spans="1:13">
      <c r="A15" s="6"/>
      <c r="B15" s="11"/>
      <c r="C15" s="7" t="s">
        <v>180</v>
      </c>
      <c r="D15" s="7"/>
      <c r="E15" s="7"/>
      <c r="F15" s="7"/>
      <c r="G15" s="7"/>
      <c r="H15" s="7"/>
      <c r="I15" s="7"/>
      <c r="J15" s="7"/>
      <c r="K15" s="7"/>
      <c r="L15" s="7"/>
      <c r="M15" s="95"/>
    </row>
    <row r="16" spans="1:13">
      <c r="A16" s="6"/>
      <c r="B16" s="11"/>
      <c r="C16" s="7" t="s">
        <v>181</v>
      </c>
      <c r="D16" s="7"/>
      <c r="E16" s="7"/>
      <c r="F16" s="7"/>
      <c r="G16" s="7"/>
      <c r="H16" s="7"/>
      <c r="I16" s="7"/>
      <c r="J16" s="7"/>
      <c r="K16" s="7"/>
      <c r="L16" s="7"/>
      <c r="M16" s="95"/>
    </row>
    <row r="17" spans="1:13">
      <c r="A17" s="6"/>
      <c r="B17" s="12"/>
      <c r="C17" s="9" t="s">
        <v>182</v>
      </c>
      <c r="D17" s="9"/>
      <c r="E17" s="9"/>
      <c r="F17" s="9"/>
      <c r="G17" s="9"/>
      <c r="H17" s="9"/>
      <c r="I17" s="9"/>
      <c r="J17" s="9"/>
      <c r="K17" s="9"/>
      <c r="L17" s="9"/>
      <c r="M17" s="91"/>
    </row>
    <row r="18" spans="1:13">
      <c r="A18" s="6"/>
      <c r="B18" s="11" t="s">
        <v>270</v>
      </c>
      <c r="C18" s="7" t="s">
        <v>241</v>
      </c>
      <c r="D18" s="7"/>
      <c r="E18" s="7"/>
      <c r="F18" s="7"/>
      <c r="G18" s="7"/>
      <c r="H18" s="7"/>
      <c r="I18" s="7"/>
      <c r="J18" s="7"/>
      <c r="K18" s="7"/>
      <c r="L18" s="7"/>
      <c r="M18" s="95"/>
    </row>
    <row r="19" spans="1:13">
      <c r="A19" s="6"/>
      <c r="B19" s="15" t="s">
        <v>280</v>
      </c>
      <c r="C19" s="17" t="s">
        <v>248</v>
      </c>
      <c r="D19" s="17"/>
      <c r="E19" s="17"/>
      <c r="F19" s="17"/>
      <c r="G19" s="17"/>
      <c r="H19" s="17"/>
      <c r="I19" s="17"/>
      <c r="J19" s="17"/>
      <c r="K19" s="17"/>
      <c r="L19" s="17"/>
      <c r="M19" s="90"/>
    </row>
    <row r="20" spans="1:13">
      <c r="A20" s="6"/>
      <c r="B20" s="15" t="s">
        <v>252</v>
      </c>
      <c r="C20" s="17" t="s">
        <v>253</v>
      </c>
      <c r="D20" s="17"/>
      <c r="E20" s="17"/>
      <c r="F20" s="17"/>
      <c r="G20" s="17"/>
      <c r="H20" s="17"/>
      <c r="I20" s="17"/>
      <c r="J20" s="17"/>
      <c r="K20" s="17"/>
      <c r="L20" s="17"/>
      <c r="M20" s="90"/>
    </row>
    <row r="21" spans="1:13">
      <c r="A21" s="6"/>
      <c r="B21" s="15" t="s">
        <v>184</v>
      </c>
      <c r="C21" s="17" t="s">
        <v>242</v>
      </c>
      <c r="D21" s="17"/>
      <c r="E21" s="17"/>
      <c r="F21" s="17"/>
      <c r="G21" s="17"/>
      <c r="H21" s="17"/>
      <c r="I21" s="17"/>
      <c r="J21" s="17"/>
      <c r="K21" s="17"/>
      <c r="L21" s="17"/>
      <c r="M21" s="90"/>
    </row>
    <row r="22" spans="1:13">
      <c r="A22" s="6"/>
      <c r="B22" s="15" t="s">
        <v>185</v>
      </c>
      <c r="C22" s="17" t="s">
        <v>243</v>
      </c>
      <c r="D22" s="17"/>
      <c r="E22" s="17"/>
      <c r="F22" s="17"/>
      <c r="G22" s="17"/>
      <c r="H22" s="17"/>
      <c r="I22" s="17"/>
      <c r="J22" s="17"/>
      <c r="K22" s="17"/>
      <c r="L22" s="17"/>
      <c r="M22" s="90"/>
    </row>
    <row r="23" spans="1:13">
      <c r="A23" s="6"/>
      <c r="B23" s="15" t="s">
        <v>186</v>
      </c>
      <c r="C23" s="17" t="s">
        <v>244</v>
      </c>
      <c r="D23" s="17"/>
      <c r="E23" s="17"/>
      <c r="F23" s="17"/>
      <c r="G23" s="17"/>
      <c r="H23" s="17"/>
      <c r="I23" s="17"/>
      <c r="J23" s="17"/>
      <c r="K23" s="17"/>
      <c r="L23" s="17"/>
      <c r="M23" s="90"/>
    </row>
    <row r="24" spans="1:13">
      <c r="A24" s="6"/>
      <c r="B24" s="15" t="s">
        <v>187</v>
      </c>
      <c r="C24" s="17" t="s">
        <v>245</v>
      </c>
      <c r="D24" s="17"/>
      <c r="E24" s="17"/>
      <c r="F24" s="17"/>
      <c r="G24" s="17"/>
      <c r="H24" s="17"/>
      <c r="I24" s="17"/>
      <c r="J24" s="17"/>
      <c r="K24" s="17"/>
      <c r="L24" s="17"/>
      <c r="M24" s="90"/>
    </row>
    <row r="25" spans="1:13">
      <c r="A25" s="6"/>
      <c r="B25" s="15" t="s">
        <v>188</v>
      </c>
      <c r="C25" s="17" t="s">
        <v>246</v>
      </c>
      <c r="D25" s="17"/>
      <c r="E25" s="17"/>
      <c r="F25" s="17"/>
      <c r="G25" s="17"/>
      <c r="H25" s="17"/>
      <c r="I25" s="17"/>
      <c r="J25" s="17"/>
      <c r="K25" s="17"/>
      <c r="L25" s="17"/>
      <c r="M25" s="90"/>
    </row>
    <row r="26" spans="1:13">
      <c r="A26" s="6"/>
      <c r="B26" s="106" t="s">
        <v>189</v>
      </c>
      <c r="C26" s="107" t="s">
        <v>247</v>
      </c>
      <c r="D26" s="107"/>
      <c r="E26" s="107"/>
      <c r="F26" s="107"/>
      <c r="G26" s="107"/>
      <c r="H26" s="107"/>
      <c r="I26" s="107"/>
      <c r="J26" s="107"/>
      <c r="K26" s="107"/>
      <c r="L26" s="107"/>
      <c r="M26" s="108"/>
    </row>
    <row r="27" spans="1:13" ht="14" thickBot="1">
      <c r="A27" s="6"/>
      <c r="B27" s="109" t="s">
        <v>190</v>
      </c>
      <c r="C27" s="107"/>
      <c r="D27" s="107"/>
      <c r="E27" s="107"/>
      <c r="F27" s="107"/>
      <c r="G27" s="107"/>
      <c r="H27" s="107"/>
      <c r="I27" s="107"/>
      <c r="J27" s="107"/>
      <c r="K27" s="107"/>
      <c r="L27" s="107"/>
      <c r="M27" s="108"/>
    </row>
    <row r="28" spans="1:13">
      <c r="A28" s="5" t="s">
        <v>255</v>
      </c>
      <c r="B28" s="10" t="s">
        <v>183</v>
      </c>
      <c r="C28" s="87" t="s">
        <v>275</v>
      </c>
      <c r="D28" s="87"/>
      <c r="E28" s="87"/>
      <c r="F28" s="87"/>
      <c r="G28" s="87"/>
      <c r="H28" s="87"/>
      <c r="I28" s="87"/>
      <c r="J28" s="87"/>
      <c r="K28" s="87"/>
      <c r="L28" s="87"/>
      <c r="M28" s="88"/>
    </row>
    <row r="29" spans="1:13">
      <c r="A29" s="6"/>
      <c r="B29" s="11"/>
      <c r="C29" s="7" t="s">
        <v>171</v>
      </c>
      <c r="D29" s="7"/>
      <c r="E29" s="7"/>
      <c r="F29" s="7"/>
      <c r="G29" s="7"/>
      <c r="H29" s="7"/>
      <c r="I29" s="7"/>
      <c r="J29" s="7"/>
      <c r="K29" s="7"/>
      <c r="L29" s="7"/>
      <c r="M29" s="95"/>
    </row>
    <row r="30" spans="1:13">
      <c r="A30" s="6"/>
      <c r="B30" s="11"/>
      <c r="C30" s="7" t="s">
        <v>260</v>
      </c>
      <c r="D30" s="7"/>
      <c r="E30" s="7"/>
      <c r="F30" s="7"/>
      <c r="G30" s="7"/>
      <c r="H30" s="7"/>
      <c r="I30" s="7"/>
      <c r="J30" s="7"/>
      <c r="K30" s="7"/>
      <c r="L30" s="7"/>
      <c r="M30" s="95"/>
    </row>
    <row r="31" spans="1:13">
      <c r="A31" s="6"/>
      <c r="B31" s="11"/>
      <c r="C31" s="7" t="s">
        <v>276</v>
      </c>
      <c r="D31" s="7"/>
      <c r="E31" s="7"/>
      <c r="F31" s="7"/>
      <c r="G31" s="7"/>
      <c r="H31" s="7"/>
      <c r="I31" s="7"/>
      <c r="J31" s="7"/>
      <c r="K31" s="7"/>
      <c r="L31" s="7"/>
      <c r="M31" s="95"/>
    </row>
    <row r="32" spans="1:13">
      <c r="A32" s="6"/>
      <c r="B32" s="11"/>
      <c r="C32" s="7" t="s">
        <v>259</v>
      </c>
      <c r="D32" s="7"/>
      <c r="E32" s="7"/>
      <c r="F32" s="7"/>
      <c r="G32" s="7"/>
      <c r="H32" s="7"/>
      <c r="I32" s="7"/>
      <c r="J32" s="7"/>
      <c r="K32" s="7"/>
      <c r="L32" s="7"/>
      <c r="M32" s="95"/>
    </row>
    <row r="33" spans="1:13">
      <c r="A33" s="6"/>
      <c r="B33" s="11"/>
      <c r="C33" s="7" t="s">
        <v>265</v>
      </c>
      <c r="D33" s="7"/>
      <c r="E33" s="7"/>
      <c r="F33" s="7"/>
      <c r="G33" s="7"/>
      <c r="H33" s="7"/>
      <c r="I33" s="7"/>
      <c r="J33" s="7"/>
      <c r="K33" s="7"/>
      <c r="L33" s="7"/>
      <c r="M33" s="95"/>
    </row>
    <row r="34" spans="1:13">
      <c r="A34" s="6"/>
      <c r="B34" s="11"/>
      <c r="C34" s="7" t="s">
        <v>182</v>
      </c>
      <c r="D34" s="7"/>
      <c r="E34" s="7"/>
      <c r="F34" s="7"/>
      <c r="G34" s="7"/>
      <c r="H34" s="7"/>
      <c r="I34" s="7"/>
      <c r="J34" s="7"/>
      <c r="K34" s="7"/>
      <c r="L34" s="7"/>
      <c r="M34" s="95"/>
    </row>
    <row r="35" spans="1:13">
      <c r="A35" s="6"/>
      <c r="B35" s="15" t="s">
        <v>264</v>
      </c>
      <c r="C35" s="17" t="s">
        <v>277</v>
      </c>
      <c r="D35" s="17"/>
      <c r="E35" s="17"/>
      <c r="F35" s="17"/>
      <c r="G35" s="17"/>
      <c r="H35" s="17"/>
      <c r="I35" s="17"/>
      <c r="J35" s="17"/>
      <c r="K35" s="17"/>
      <c r="L35" s="17"/>
      <c r="M35" s="90"/>
    </row>
    <row r="36" spans="1:13">
      <c r="A36" s="6"/>
      <c r="B36" s="15" t="s">
        <v>266</v>
      </c>
      <c r="C36" s="17" t="s">
        <v>271</v>
      </c>
      <c r="D36" s="17"/>
      <c r="E36" s="17"/>
      <c r="F36" s="17"/>
      <c r="G36" s="17"/>
      <c r="H36" s="17"/>
      <c r="I36" s="17"/>
      <c r="J36" s="17"/>
      <c r="K36" s="17"/>
      <c r="L36" s="17"/>
      <c r="M36" s="90"/>
    </row>
    <row r="37" spans="1:13">
      <c r="A37" s="6"/>
      <c r="B37" s="15" t="s">
        <v>267</v>
      </c>
      <c r="C37" s="17" t="s">
        <v>272</v>
      </c>
      <c r="D37" s="17"/>
      <c r="E37" s="17"/>
      <c r="F37" s="17"/>
      <c r="G37" s="17"/>
      <c r="H37" s="17"/>
      <c r="I37" s="17"/>
      <c r="J37" s="17"/>
      <c r="K37" s="17"/>
      <c r="L37" s="17"/>
      <c r="M37" s="90"/>
    </row>
    <row r="38" spans="1:13">
      <c r="A38" s="6"/>
      <c r="B38" s="15" t="s">
        <v>268</v>
      </c>
      <c r="C38" s="17" t="s">
        <v>273</v>
      </c>
      <c r="D38" s="17"/>
      <c r="E38" s="17"/>
      <c r="F38" s="17"/>
      <c r="G38" s="17"/>
      <c r="H38" s="17"/>
      <c r="I38" s="17"/>
      <c r="J38" s="17"/>
      <c r="K38" s="17"/>
      <c r="L38" s="17"/>
      <c r="M38" s="90"/>
    </row>
    <row r="39" spans="1:13" ht="14" thickBot="1">
      <c r="A39" s="6"/>
      <c r="B39" s="11" t="s">
        <v>269</v>
      </c>
      <c r="C39" s="7" t="s">
        <v>274</v>
      </c>
      <c r="D39" s="7"/>
      <c r="E39" s="7"/>
      <c r="F39" s="7"/>
      <c r="G39" s="7"/>
      <c r="H39" s="7"/>
      <c r="I39" s="7"/>
      <c r="J39" s="7"/>
      <c r="K39" s="7"/>
      <c r="L39" s="7"/>
      <c r="M39" s="95"/>
    </row>
    <row r="40" spans="1:13">
      <c r="A40" s="5" t="s">
        <v>641</v>
      </c>
      <c r="B40" s="10" t="s">
        <v>183</v>
      </c>
      <c r="C40" s="87" t="s">
        <v>194</v>
      </c>
      <c r="D40" s="87"/>
      <c r="E40" s="87"/>
      <c r="F40" s="87"/>
      <c r="G40" s="87"/>
      <c r="H40" s="87"/>
      <c r="I40" s="87"/>
      <c r="J40" s="87"/>
      <c r="K40" s="87"/>
      <c r="L40" s="87"/>
      <c r="M40" s="88"/>
    </row>
    <row r="41" spans="1:13">
      <c r="A41" s="6"/>
      <c r="B41" s="11"/>
      <c r="C41" s="7" t="s">
        <v>171</v>
      </c>
      <c r="D41" s="7"/>
      <c r="E41" s="7"/>
      <c r="F41" s="7"/>
      <c r="G41" s="7"/>
      <c r="H41" s="7"/>
      <c r="I41" s="7"/>
      <c r="J41" s="7"/>
      <c r="K41" s="7"/>
      <c r="L41" s="7"/>
      <c r="M41" s="95"/>
    </row>
    <row r="42" spans="1:13">
      <c r="A42" s="6"/>
      <c r="B42" s="11"/>
      <c r="C42" s="7" t="s">
        <v>191</v>
      </c>
      <c r="D42" s="7"/>
      <c r="E42" s="7"/>
      <c r="F42" s="7"/>
      <c r="G42" s="7"/>
      <c r="H42" s="7"/>
      <c r="I42" s="7"/>
      <c r="J42" s="7"/>
      <c r="K42" s="7"/>
      <c r="L42" s="7"/>
      <c r="M42" s="95"/>
    </row>
    <row r="43" spans="1:13">
      <c r="A43" s="6"/>
      <c r="B43" s="11"/>
      <c r="C43" s="7" t="s">
        <v>192</v>
      </c>
      <c r="D43" s="7"/>
      <c r="E43" s="7"/>
      <c r="F43" s="7"/>
      <c r="G43" s="7"/>
      <c r="H43" s="7"/>
      <c r="I43" s="7"/>
      <c r="J43" s="7"/>
      <c r="K43" s="7"/>
      <c r="L43" s="7"/>
      <c r="M43" s="95"/>
    </row>
    <row r="44" spans="1:13">
      <c r="A44" s="6"/>
      <c r="B44" s="11"/>
      <c r="C44" s="7" t="s">
        <v>193</v>
      </c>
      <c r="D44" s="7"/>
      <c r="E44" s="7"/>
      <c r="F44" s="7"/>
      <c r="G44" s="7"/>
      <c r="H44" s="7"/>
      <c r="I44" s="7"/>
      <c r="J44" s="7"/>
      <c r="K44" s="7"/>
      <c r="L44" s="7"/>
      <c r="M44" s="95"/>
    </row>
    <row r="45" spans="1:13">
      <c r="A45" s="6"/>
      <c r="B45" s="12"/>
      <c r="C45" s="9" t="s">
        <v>182</v>
      </c>
      <c r="D45" s="9"/>
      <c r="E45" s="9"/>
      <c r="F45" s="9"/>
      <c r="G45" s="9"/>
      <c r="H45" s="9"/>
      <c r="I45" s="9"/>
      <c r="J45" s="9"/>
      <c r="K45" s="9"/>
      <c r="L45" s="9"/>
      <c r="M45" s="91"/>
    </row>
    <row r="46" spans="1:13" ht="14" thickBot="1">
      <c r="A46" s="99"/>
      <c r="B46" s="96" t="s">
        <v>196</v>
      </c>
      <c r="C46" s="97" t="s">
        <v>195</v>
      </c>
      <c r="D46" s="97"/>
      <c r="E46" s="97"/>
      <c r="F46" s="97"/>
      <c r="G46" s="97"/>
      <c r="H46" s="97"/>
      <c r="I46" s="97"/>
      <c r="J46" s="97"/>
      <c r="K46" s="97"/>
      <c r="L46" s="97"/>
      <c r="M46" s="98"/>
    </row>
    <row r="48" spans="1:13" ht="14" thickBot="1">
      <c r="A48" t="s">
        <v>208</v>
      </c>
    </row>
    <row r="49" spans="1:13">
      <c r="A49" s="84"/>
      <c r="B49" s="85" t="s">
        <v>209</v>
      </c>
      <c r="C49" s="86" t="s">
        <v>210</v>
      </c>
      <c r="D49" s="87"/>
      <c r="E49" s="87"/>
      <c r="F49" s="87"/>
      <c r="G49" s="87"/>
      <c r="H49" s="87"/>
      <c r="I49" s="87"/>
      <c r="J49" s="87"/>
      <c r="K49" s="87"/>
      <c r="L49" s="87"/>
      <c r="M49" s="88"/>
    </row>
    <row r="50" spans="1:13">
      <c r="A50" s="89"/>
      <c r="B50" s="15" t="s">
        <v>212</v>
      </c>
      <c r="C50" s="14" t="s">
        <v>211</v>
      </c>
      <c r="D50" s="17"/>
      <c r="E50" s="17"/>
      <c r="F50" s="17"/>
      <c r="G50" s="17"/>
      <c r="H50" s="17"/>
      <c r="I50" s="17"/>
      <c r="J50" s="17"/>
      <c r="K50" s="17"/>
      <c r="L50" s="17"/>
      <c r="M50" s="90"/>
    </row>
    <row r="51" spans="1:13">
      <c r="A51" s="6"/>
      <c r="B51" s="15" t="s">
        <v>214</v>
      </c>
      <c r="C51" s="8" t="s">
        <v>213</v>
      </c>
      <c r="D51" s="9"/>
      <c r="E51" s="9"/>
      <c r="F51" s="9"/>
      <c r="G51" s="9"/>
      <c r="H51" s="9"/>
      <c r="I51" s="9"/>
      <c r="J51" s="9"/>
      <c r="K51" s="9"/>
      <c r="L51" s="9"/>
      <c r="M51" s="91"/>
    </row>
    <row r="52" spans="1:13">
      <c r="A52" s="6"/>
      <c r="B52" s="15" t="s">
        <v>215</v>
      </c>
      <c r="C52" s="8" t="s">
        <v>238</v>
      </c>
      <c r="D52" s="9"/>
      <c r="E52" s="9"/>
      <c r="F52" s="9"/>
      <c r="G52" s="9"/>
      <c r="H52" s="9"/>
      <c r="I52" s="9"/>
      <c r="J52" s="9"/>
      <c r="K52" s="9"/>
      <c r="L52" s="9"/>
      <c r="M52" s="91"/>
    </row>
    <row r="53" spans="1:13">
      <c r="A53" s="6"/>
      <c r="B53" s="16" t="s">
        <v>224</v>
      </c>
      <c r="C53" s="92" t="s">
        <v>228</v>
      </c>
      <c r="D53" s="18"/>
      <c r="E53" s="18"/>
      <c r="F53" s="18"/>
      <c r="G53" s="18"/>
      <c r="H53" s="18"/>
      <c r="I53" s="18"/>
      <c r="J53" s="18"/>
      <c r="K53" s="18"/>
      <c r="L53" s="18"/>
      <c r="M53" s="93"/>
    </row>
    <row r="54" spans="1:13">
      <c r="A54" s="6"/>
      <c r="B54" s="11"/>
      <c r="C54" s="94" t="s">
        <v>225</v>
      </c>
      <c r="D54" s="7"/>
      <c r="E54" s="7"/>
      <c r="F54" s="7"/>
      <c r="G54" s="7"/>
      <c r="H54" s="7"/>
      <c r="I54" s="7"/>
      <c r="J54" s="7"/>
      <c r="K54" s="7"/>
      <c r="L54" s="7"/>
      <c r="M54" s="95"/>
    </row>
    <row r="55" spans="1:13">
      <c r="A55" s="6"/>
      <c r="B55" s="11"/>
      <c r="C55" s="94" t="s">
        <v>227</v>
      </c>
      <c r="D55" s="7"/>
      <c r="E55" s="7"/>
      <c r="F55" s="7"/>
      <c r="G55" s="7"/>
      <c r="H55" s="7"/>
      <c r="I55" s="7"/>
      <c r="J55" s="7"/>
      <c r="K55" s="7"/>
      <c r="L55" s="7"/>
      <c r="M55" s="95"/>
    </row>
    <row r="56" spans="1:13">
      <c r="A56" s="6"/>
      <c r="B56" s="12"/>
      <c r="C56" s="8" t="s">
        <v>226</v>
      </c>
      <c r="D56" s="9"/>
      <c r="E56" s="9"/>
      <c r="F56" s="9"/>
      <c r="G56" s="9"/>
      <c r="H56" s="9"/>
      <c r="I56" s="9"/>
      <c r="J56" s="9"/>
      <c r="K56" s="9"/>
      <c r="L56" s="9"/>
      <c r="M56" s="91"/>
    </row>
    <row r="57" spans="1:13">
      <c r="A57" s="6"/>
      <c r="B57" s="16" t="s">
        <v>231</v>
      </c>
      <c r="C57" s="94" t="s">
        <v>229</v>
      </c>
      <c r="D57" s="7"/>
      <c r="E57" s="7"/>
      <c r="F57" s="7"/>
      <c r="G57" s="7"/>
      <c r="H57" s="7"/>
      <c r="I57" s="7"/>
      <c r="J57" s="7"/>
      <c r="K57" s="7"/>
      <c r="L57" s="7"/>
      <c r="M57" s="95"/>
    </row>
    <row r="58" spans="1:13">
      <c r="A58" s="89"/>
      <c r="B58" s="12"/>
      <c r="C58" s="100" t="s">
        <v>230</v>
      </c>
      <c r="D58" s="9"/>
      <c r="E58" s="9"/>
      <c r="F58" s="9"/>
      <c r="G58" s="9"/>
      <c r="H58" s="9"/>
      <c r="I58" s="9"/>
      <c r="J58" s="9"/>
      <c r="K58" s="9"/>
      <c r="L58" s="9"/>
      <c r="M58" s="91"/>
    </row>
    <row r="59" spans="1:13">
      <c r="A59" s="89"/>
      <c r="B59" s="11" t="s">
        <v>547</v>
      </c>
      <c r="C59" s="94" t="s">
        <v>546</v>
      </c>
      <c r="D59" s="7"/>
      <c r="E59" s="7"/>
      <c r="F59" s="7"/>
      <c r="G59" s="7"/>
      <c r="H59" s="7"/>
      <c r="I59" s="7"/>
      <c r="J59" s="7"/>
      <c r="K59" s="7"/>
      <c r="L59" s="7"/>
      <c r="M59" s="95"/>
    </row>
    <row r="60" spans="1:13" ht="14" thickBot="1">
      <c r="A60" s="19"/>
      <c r="B60" s="20"/>
      <c r="C60" s="21"/>
      <c r="D60" s="22"/>
      <c r="E60" s="22"/>
      <c r="F60" s="22"/>
      <c r="G60" s="22"/>
      <c r="H60" s="22"/>
      <c r="I60" s="22"/>
      <c r="J60" s="22"/>
      <c r="K60" s="22"/>
      <c r="L60" s="22"/>
      <c r="M60" s="122"/>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D6"/>
  <sheetViews>
    <sheetView workbookViewId="0"/>
  </sheetViews>
  <sheetFormatPr defaultRowHeight="13.3"/>
  <cols>
    <col min="1" max="1" width="16.125" customWidth="1"/>
    <col min="2" max="2" width="27.25" bestFit="1" customWidth="1"/>
    <col min="3" max="3" width="10.375" bestFit="1" customWidth="1"/>
    <col min="4" max="4" width="99" customWidth="1"/>
  </cols>
  <sheetData>
    <row r="2" spans="1:4" ht="23.8">
      <c r="A2" s="30" t="s">
        <v>199</v>
      </c>
    </row>
    <row r="3" spans="1:4" ht="14" thickBot="1"/>
    <row r="4" spans="1:4" ht="14" thickBot="1">
      <c r="A4" s="59" t="s">
        <v>200</v>
      </c>
      <c r="B4" s="60" t="s">
        <v>203</v>
      </c>
      <c r="C4" s="60" t="s">
        <v>202</v>
      </c>
      <c r="D4" s="61" t="s">
        <v>207</v>
      </c>
    </row>
    <row r="5" spans="1:4" ht="26.6">
      <c r="A5" s="81" t="s">
        <v>715</v>
      </c>
      <c r="B5" s="80" t="s">
        <v>201</v>
      </c>
      <c r="C5" s="80"/>
      <c r="D5" s="82" t="s">
        <v>205</v>
      </c>
    </row>
    <row r="6" spans="1:4" ht="14" thickBot="1">
      <c r="A6" s="113" t="s">
        <v>581</v>
      </c>
      <c r="B6" s="114" t="s">
        <v>204</v>
      </c>
      <c r="C6" s="114"/>
      <c r="D6" s="115" t="s">
        <v>206</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L61"/>
  <sheetViews>
    <sheetView workbookViewId="0">
      <pane ySplit="5" topLeftCell="A6" activePane="bottomLeft" state="frozen"/>
      <selection pane="bottomLeft" activeCell="A6" sqref="A6"/>
    </sheetView>
  </sheetViews>
  <sheetFormatPr defaultRowHeight="13.3"/>
  <cols>
    <col min="1" max="1" width="13" bestFit="1" customWidth="1"/>
    <col min="2" max="2" width="13" customWidth="1"/>
    <col min="3" max="3" width="13.5" bestFit="1" customWidth="1"/>
    <col min="4" max="4" width="11.375" bestFit="1" customWidth="1"/>
    <col min="5" max="5" width="7.875" bestFit="1" customWidth="1"/>
    <col min="6" max="6" width="13.625" bestFit="1" customWidth="1"/>
    <col min="7" max="7" width="12.625" bestFit="1" customWidth="1"/>
    <col min="8" max="8" width="6.5" bestFit="1" customWidth="1"/>
    <col min="9" max="9" width="65.125" bestFit="1" customWidth="1"/>
    <col min="10" max="10" width="84.75" bestFit="1" customWidth="1"/>
    <col min="11" max="11" width="17.125" bestFit="1" customWidth="1"/>
  </cols>
  <sheetData>
    <row r="4" spans="1:12">
      <c r="A4" s="83" t="s">
        <v>147</v>
      </c>
      <c r="B4" s="83" t="s">
        <v>250</v>
      </c>
      <c r="C4" s="83" t="s">
        <v>148</v>
      </c>
      <c r="D4" s="83" t="s">
        <v>149</v>
      </c>
      <c r="E4" s="83" t="s">
        <v>150</v>
      </c>
      <c r="F4" s="83" t="s">
        <v>151</v>
      </c>
      <c r="G4" s="83" t="s">
        <v>152</v>
      </c>
      <c r="H4" s="83" t="s">
        <v>153</v>
      </c>
      <c r="I4" s="83" t="s">
        <v>154</v>
      </c>
      <c r="J4" s="83" t="s">
        <v>155</v>
      </c>
      <c r="K4" s="83" t="s">
        <v>290</v>
      </c>
    </row>
    <row r="5" spans="1:12">
      <c r="A5" s="83" t="s">
        <v>853</v>
      </c>
      <c r="B5" s="83" t="s">
        <v>261</v>
      </c>
      <c r="C5" s="83" t="s">
        <v>600</v>
      </c>
      <c r="D5" s="83" t="s">
        <v>381</v>
      </c>
      <c r="E5" s="83" t="s">
        <v>404</v>
      </c>
      <c r="F5" s="83" t="s">
        <v>405</v>
      </c>
      <c r="G5" s="83" t="s">
        <v>403</v>
      </c>
      <c r="H5" s="83" t="s">
        <v>382</v>
      </c>
      <c r="I5" s="83" t="s">
        <v>856</v>
      </c>
      <c r="J5" s="83" t="s">
        <v>289</v>
      </c>
      <c r="K5" s="83" t="s">
        <v>291</v>
      </c>
    </row>
    <row r="6" spans="1:12">
      <c r="A6">
        <v>1</v>
      </c>
      <c r="B6" t="s">
        <v>279</v>
      </c>
      <c r="C6" s="101" t="s">
        <v>232</v>
      </c>
      <c r="D6">
        <v>1</v>
      </c>
      <c r="I6" t="s">
        <v>857</v>
      </c>
      <c r="J6" t="s">
        <v>858</v>
      </c>
      <c r="K6">
        <v>0</v>
      </c>
      <c r="L6" t="str">
        <f>"INSERT INTO photo_table(serial_number,user_name,filming_date,film_number,title,favorites_level,camera_code,memo,file_pass,thumbnail_pass,secret_flug) VALUES("&amp; IF(A6="","NULL",A6) &amp; ","&amp; IF(B6="","NULL", "'" &amp; B6 &amp; "'") &amp; ","&amp; IF(C6="","NULL","to_date('" &amp; C6 &amp; "','yyyy/mm/dd')") &amp; ","&amp; IF(D6="","NULL",D6) &amp; ","&amp; IF(E6="","NULL",E6) &amp; ","&amp; IF(F6="","NULL",F6) &amp; ","&amp; IF(G6="","NULL",G6) &amp; ","&amp; IF(H6="","NULL",H6) &amp; ","&amp; IF(I6="","NULL", "'" &amp; I6 &amp; "'") &amp; ","&amp; IF(J6="","NULL", "'" &amp; J6 &amp; "'") &amp; ","&amp; IF(K6="","NULL",K6) &amp; ");"</f>
        <v>INSERT INTO photo_table(serial_number,user_name,filming_date,film_number,title,favorites_level,camera_code,memo,file_pass,thumbnail_pass,secret_flug) VALUES(1,'IK',to_date('2014/07/01','yyyy/mm/dd'),1,NULL,NULL,NULL,NULL,'photo_data/IK/20140701/20140701_001_Unknown.JPG','photo_data/IK/20140701/thumbnail/thumbnail_20140701_001_Unknown.JPG',0);</v>
      </c>
    </row>
    <row r="7" spans="1:12">
      <c r="A7">
        <v>2</v>
      </c>
      <c r="B7" t="s">
        <v>278</v>
      </c>
      <c r="C7" s="101" t="s">
        <v>232</v>
      </c>
      <c r="D7">
        <v>2</v>
      </c>
      <c r="F7">
        <v>1</v>
      </c>
      <c r="I7" t="s">
        <v>860</v>
      </c>
      <c r="J7" t="s">
        <v>445</v>
      </c>
      <c r="K7">
        <v>0</v>
      </c>
      <c r="L7" t="str">
        <f t="shared" ref="L7:L24" si="0">"INSERT INTO photo_table(serial_number,user_name,filming_date,film_number,title,favorites_level,camera_code,memo,file_pass,thumbnail_pass,secret_flug) VALUES("&amp; IF(A7="","NULL",A7) &amp; ","&amp; IF(B7="","NULL", "'" &amp; B7 &amp; "'") &amp; ","&amp; IF(C7="","NULL","to_date('" &amp; C7 &amp; "','yyyy/mm/dd')") &amp; ","&amp; IF(D7="","NULL",D7) &amp; ","&amp; IF(E7="","NULL",E7) &amp; ","&amp; IF(F7="","NULL",F7) &amp; ","&amp; IF(G7="","NULL",G7) &amp; ","&amp; IF(H7="","NULL",H7) &amp; ","&amp; IF(I7="","NULL", "'" &amp; I7 &amp; "'") &amp; ","&amp; IF(J7="","NULL", "'" &amp; J7 &amp; "'") &amp; ","&amp; IF(K7="","NULL",K7) &amp; ");"</f>
        <v>INSERT INTO photo_table(serial_number,user_name,filming_date,film_number,title,favorites_level,camera_code,memo,file_pass,thumbnail_pass,secret_flug) VALUES(2,'IK',to_date('2014/07/01','yyyy/mm/dd'),2,NULL,1,NULL,NULL,'photo_data/IK/20140701/20140701_002_Unknown.JPG','photo_data/IK/20140701/thumbnail/thumbnail_20140701_002_Unknown.JPG',0);</v>
      </c>
    </row>
    <row r="8" spans="1:12">
      <c r="A8">
        <v>3</v>
      </c>
      <c r="B8" t="s">
        <v>278</v>
      </c>
      <c r="C8" s="101" t="s">
        <v>232</v>
      </c>
      <c r="D8">
        <v>3</v>
      </c>
      <c r="F8">
        <v>4</v>
      </c>
      <c r="I8" t="s">
        <v>446</v>
      </c>
      <c r="J8" t="s">
        <v>447</v>
      </c>
      <c r="K8">
        <v>0</v>
      </c>
      <c r="L8" t="str">
        <f t="shared" si="0"/>
        <v>INSERT INTO photo_table(serial_number,user_name,filming_date,film_number,title,favorites_level,camera_code,memo,file_pass,thumbnail_pass,secret_flug) VALUES(3,'IK',to_date('2014/07/01','yyyy/mm/dd'),3,NULL,4,NULL,NULL,'photo_data/IK/20140701/20140701_003_Unknown.JPG','photo_data/IK/20140701/thumbnail/thumbnail_20140701_003_Unknown.JPG',0);</v>
      </c>
    </row>
    <row r="9" spans="1:12">
      <c r="A9">
        <v>4</v>
      </c>
      <c r="B9" t="s">
        <v>278</v>
      </c>
      <c r="C9" s="101" t="s">
        <v>232</v>
      </c>
      <c r="D9">
        <v>4</v>
      </c>
      <c r="I9" t="s">
        <v>448</v>
      </c>
      <c r="J9" t="s">
        <v>449</v>
      </c>
      <c r="K9">
        <v>0</v>
      </c>
      <c r="L9" t="str">
        <f t="shared" si="0"/>
        <v>INSERT INTO photo_table(serial_number,user_name,filming_date,film_number,title,favorites_level,camera_code,memo,file_pass,thumbnail_pass,secret_flug) VALUES(4,'IK',to_date('2014/07/01','yyyy/mm/dd'),4,NULL,NULL,NULL,NULL,'photo_data/IK/20140701/20140701_004_Unknown.JPG','photo_data/IK/20140701/thumbnail/thumbnail_20140701_004_Unknown.JPG',0);</v>
      </c>
    </row>
    <row r="10" spans="1:12">
      <c r="A10">
        <v>5</v>
      </c>
      <c r="B10" t="s">
        <v>278</v>
      </c>
      <c r="C10" s="101" t="s">
        <v>232</v>
      </c>
      <c r="D10">
        <v>5</v>
      </c>
      <c r="F10">
        <v>3</v>
      </c>
      <c r="I10" t="s">
        <v>450</v>
      </c>
      <c r="J10" t="s">
        <v>451</v>
      </c>
      <c r="K10">
        <v>0</v>
      </c>
      <c r="L10" t="str">
        <f t="shared" si="0"/>
        <v>INSERT INTO photo_table(serial_number,user_name,filming_date,film_number,title,favorites_level,camera_code,memo,file_pass,thumbnail_pass,secret_flug) VALUES(5,'IK',to_date('2014/07/01','yyyy/mm/dd'),5,NULL,3,NULL,NULL,'photo_data/IK/20140701/20140701_005_Unknown.JPG','photo_data/IK/20140701/thumbnail/thumbnail_20140701_005_Unknown.JPG',0);</v>
      </c>
    </row>
    <row r="11" spans="1:12">
      <c r="A11">
        <v>6</v>
      </c>
      <c r="B11" t="s">
        <v>278</v>
      </c>
      <c r="C11" s="101" t="s">
        <v>232</v>
      </c>
      <c r="D11">
        <v>6</v>
      </c>
      <c r="I11" t="s">
        <v>452</v>
      </c>
      <c r="J11" t="s">
        <v>453</v>
      </c>
      <c r="K11">
        <v>0</v>
      </c>
      <c r="L11" t="str">
        <f t="shared" si="0"/>
        <v>INSERT INTO photo_table(serial_number,user_name,filming_date,film_number,title,favorites_level,camera_code,memo,file_pass,thumbnail_pass,secret_flug) VALUES(6,'IK',to_date('2014/07/01','yyyy/mm/dd'),6,NULL,NULL,NULL,NULL,'photo_data/IK/20140701/20140701_006_Unknown.JPG','photo_data/IK/20140701/thumbnail/thumbnail_20140701_006_Unknown.JPG',0);</v>
      </c>
    </row>
    <row r="12" spans="1:12">
      <c r="A12">
        <v>7</v>
      </c>
      <c r="B12" t="s">
        <v>278</v>
      </c>
      <c r="C12" s="101" t="s">
        <v>232</v>
      </c>
      <c r="D12">
        <v>7</v>
      </c>
      <c r="F12">
        <v>2</v>
      </c>
      <c r="I12" t="s">
        <v>454</v>
      </c>
      <c r="J12" t="s">
        <v>455</v>
      </c>
      <c r="K12">
        <v>0</v>
      </c>
      <c r="L12" t="str">
        <f t="shared" si="0"/>
        <v>INSERT INTO photo_table(serial_number,user_name,filming_date,film_number,title,favorites_level,camera_code,memo,file_pass,thumbnail_pass,secret_flug) VALUES(7,'IK',to_date('2014/07/01','yyyy/mm/dd'),7,NULL,2,NULL,NULL,'photo_data/IK/20140701/20140701_007_Unknown.JPG','photo_data/IK/20140701/thumbnail/thumbnail_20140701_007_Unknown.JPG',0);</v>
      </c>
    </row>
    <row r="13" spans="1:12">
      <c r="A13">
        <v>8</v>
      </c>
      <c r="B13" t="s">
        <v>278</v>
      </c>
      <c r="C13" s="101" t="s">
        <v>232</v>
      </c>
      <c r="D13">
        <v>8</v>
      </c>
      <c r="I13" t="s">
        <v>456</v>
      </c>
      <c r="J13" t="s">
        <v>457</v>
      </c>
      <c r="K13">
        <v>0</v>
      </c>
      <c r="L13" t="str">
        <f t="shared" si="0"/>
        <v>INSERT INTO photo_table(serial_number,user_name,filming_date,film_number,title,favorites_level,camera_code,memo,file_pass,thumbnail_pass,secret_flug) VALUES(8,'IK',to_date('2014/07/01','yyyy/mm/dd'),8,NULL,NULL,NULL,NULL,'photo_data/IK/20140701/20140701_008_Unknown.JPG','photo_data/IK/20140701/thumbnail/thumbnail_20140701_008_Unknown.JPG',0);</v>
      </c>
    </row>
    <row r="14" spans="1:12">
      <c r="A14">
        <v>9</v>
      </c>
      <c r="B14" t="s">
        <v>278</v>
      </c>
      <c r="C14" s="101" t="s">
        <v>232</v>
      </c>
      <c r="D14">
        <v>9</v>
      </c>
      <c r="I14" t="s">
        <v>458</v>
      </c>
      <c r="J14" t="s">
        <v>459</v>
      </c>
      <c r="K14">
        <v>0</v>
      </c>
      <c r="L14" t="str">
        <f t="shared" si="0"/>
        <v>INSERT INTO photo_table(serial_number,user_name,filming_date,film_number,title,favorites_level,camera_code,memo,file_pass,thumbnail_pass,secret_flug) VALUES(9,'IK',to_date('2014/07/01','yyyy/mm/dd'),9,NULL,NULL,NULL,NULL,'photo_data/IK/20140701/20140701_009_Unknown.JPG','photo_data/IK/20140701/thumbnail/thumbnail_20140701_009_Unknown.JPG',0);</v>
      </c>
    </row>
    <row r="15" spans="1:12">
      <c r="A15">
        <v>10</v>
      </c>
      <c r="B15" t="s">
        <v>278</v>
      </c>
      <c r="C15" s="101" t="s">
        <v>232</v>
      </c>
      <c r="D15">
        <v>10</v>
      </c>
      <c r="I15" t="s">
        <v>460</v>
      </c>
      <c r="J15" t="s">
        <v>461</v>
      </c>
      <c r="K15">
        <v>0</v>
      </c>
      <c r="L15" t="str">
        <f t="shared" si="0"/>
        <v>INSERT INTO photo_table(serial_number,user_name,filming_date,film_number,title,favorites_level,camera_code,memo,file_pass,thumbnail_pass,secret_flug) VALUES(10,'IK',to_date('2014/07/01','yyyy/mm/dd'),10,NULL,NULL,NULL,NULL,'photo_data/IK/20140701/20140701_010_Unknown.JPG','photo_data/IK/20140701/thumbnail/thumbnail_20140701_010_Unknown.JPG',0);</v>
      </c>
    </row>
    <row r="16" spans="1:12">
      <c r="A16">
        <v>11</v>
      </c>
      <c r="B16" t="s">
        <v>278</v>
      </c>
      <c r="C16" s="101" t="s">
        <v>233</v>
      </c>
      <c r="D16">
        <v>1</v>
      </c>
      <c r="G16">
        <v>1</v>
      </c>
      <c r="I16" t="s">
        <v>462</v>
      </c>
      <c r="J16" t="s">
        <v>463</v>
      </c>
      <c r="K16">
        <v>0</v>
      </c>
      <c r="L16" t="str">
        <f t="shared" si="0"/>
        <v>INSERT INTO photo_table(serial_number,user_name,filming_date,film_number,title,favorites_level,camera_code,memo,file_pass,thumbnail_pass,secret_flug) VALUES(11,'IK',to_date('2016/06/13','yyyy/mm/dd'),1,NULL,NULL,1,NULL,'photo_data/IK/20160613/20160613_001_Lomography Color 400.jpg','photo_data/IK/20160613/thumbnail/thumbnail_20160613_001_Lomography Color 400.jpg',0);</v>
      </c>
    </row>
    <row r="17" spans="1:12">
      <c r="A17">
        <v>12</v>
      </c>
      <c r="B17" t="s">
        <v>278</v>
      </c>
      <c r="C17" s="101" t="s">
        <v>233</v>
      </c>
      <c r="D17">
        <v>2</v>
      </c>
      <c r="G17">
        <v>1</v>
      </c>
      <c r="I17" t="s">
        <v>464</v>
      </c>
      <c r="J17" t="s">
        <v>465</v>
      </c>
      <c r="K17">
        <v>0</v>
      </c>
      <c r="L17" t="str">
        <f t="shared" si="0"/>
        <v>INSERT INTO photo_table(serial_number,user_name,filming_date,film_number,title,favorites_level,camera_code,memo,file_pass,thumbnail_pass,secret_flug) VALUES(12,'IK',to_date('2016/06/13','yyyy/mm/dd'),2,NULL,NULL,1,NULL,'photo_data/IK/20160613/20160613_002_Lomography Color 400.jpg','photo_data/IK/20160613/thumbnail/thumbnail_20160613_002_Lomography Color 400.jpg',0);</v>
      </c>
    </row>
    <row r="18" spans="1:12">
      <c r="A18">
        <v>13</v>
      </c>
      <c r="B18" t="s">
        <v>278</v>
      </c>
      <c r="C18" s="101" t="s">
        <v>233</v>
      </c>
      <c r="D18">
        <v>3</v>
      </c>
      <c r="G18">
        <v>1</v>
      </c>
      <c r="I18" t="s">
        <v>466</v>
      </c>
      <c r="J18" t="s">
        <v>467</v>
      </c>
      <c r="K18">
        <v>0</v>
      </c>
      <c r="L18" t="str">
        <f t="shared" si="0"/>
        <v>INSERT INTO photo_table(serial_number,user_name,filming_date,film_number,title,favorites_level,camera_code,memo,file_pass,thumbnail_pass,secret_flug) VALUES(13,'IK',to_date('2016/06/13','yyyy/mm/dd'),3,NULL,NULL,1,NULL,'photo_data/IK/20160613/20160613_003_Lomography Color 400.jpg','photo_data/IK/20160613/thumbnail/thumbnail_20160613_003_Lomography Color 400.jpg',0);</v>
      </c>
    </row>
    <row r="19" spans="1:12">
      <c r="A19">
        <v>14</v>
      </c>
      <c r="B19" t="s">
        <v>278</v>
      </c>
      <c r="C19" s="101" t="s">
        <v>233</v>
      </c>
      <c r="D19">
        <v>4</v>
      </c>
      <c r="G19">
        <v>1</v>
      </c>
      <c r="I19" t="s">
        <v>468</v>
      </c>
      <c r="J19" t="s">
        <v>469</v>
      </c>
      <c r="K19">
        <v>0</v>
      </c>
      <c r="L19" t="str">
        <f t="shared" si="0"/>
        <v>INSERT INTO photo_table(serial_number,user_name,filming_date,film_number,title,favorites_level,camera_code,memo,file_pass,thumbnail_pass,secret_flug) VALUES(14,'IK',to_date('2016/06/13','yyyy/mm/dd'),4,NULL,NULL,1,NULL,'photo_data/IK/20160613/20160613_004_Lomography Color 400.jpg','photo_data/IK/20160613/thumbnail/thumbnail_20160613_004_Lomography Color 400.jpg',0);</v>
      </c>
    </row>
    <row r="20" spans="1:12">
      <c r="A20">
        <v>15</v>
      </c>
      <c r="B20" t="s">
        <v>278</v>
      </c>
      <c r="C20" s="101" t="s">
        <v>233</v>
      </c>
      <c r="D20">
        <v>5</v>
      </c>
      <c r="G20">
        <v>1</v>
      </c>
      <c r="I20" t="s">
        <v>470</v>
      </c>
      <c r="J20" t="s">
        <v>471</v>
      </c>
      <c r="K20">
        <v>0</v>
      </c>
      <c r="L20" t="str">
        <f t="shared" si="0"/>
        <v>INSERT INTO photo_table(serial_number,user_name,filming_date,film_number,title,favorites_level,camera_code,memo,file_pass,thumbnail_pass,secret_flug) VALUES(15,'IK',to_date('2016/06/13','yyyy/mm/dd'),5,NULL,NULL,1,NULL,'photo_data/IK/20160613/20160613_005_Lomography Color 400.jpg','photo_data/IK/20160613/thumbnail/thumbnail_20160613_005_Lomography Color 400.jpg',0);</v>
      </c>
    </row>
    <row r="21" spans="1:12">
      <c r="A21">
        <v>16</v>
      </c>
      <c r="B21" t="s">
        <v>278</v>
      </c>
      <c r="C21" s="101" t="s">
        <v>234</v>
      </c>
      <c r="D21">
        <v>1</v>
      </c>
      <c r="G21">
        <v>2</v>
      </c>
      <c r="I21" t="s">
        <v>472</v>
      </c>
      <c r="J21" t="s">
        <v>473</v>
      </c>
      <c r="K21">
        <v>0</v>
      </c>
      <c r="L21" t="str">
        <f t="shared" si="0"/>
        <v>INSERT INTO photo_table(serial_number,user_name,filming_date,film_number,title,favorites_level,camera_code,memo,file_pass,thumbnail_pass,secret_flug) VALUES(16,'IK',to_date('2018/04/15','yyyy/mm/dd'),1,NULL,NULL,2,NULL,'photo_data/IK/20180415/20180415_001_Cinestill 50D.jpg','photo_data/IK/20180415/thumbnail/thumbnail_20180415_001_Cinestill 50D.jpg',0);</v>
      </c>
    </row>
    <row r="22" spans="1:12">
      <c r="A22">
        <v>17</v>
      </c>
      <c r="B22" t="s">
        <v>278</v>
      </c>
      <c r="C22" s="101" t="s">
        <v>234</v>
      </c>
      <c r="D22">
        <v>2</v>
      </c>
      <c r="G22">
        <v>2</v>
      </c>
      <c r="I22" t="s">
        <v>474</v>
      </c>
      <c r="J22" t="s">
        <v>475</v>
      </c>
      <c r="K22">
        <v>0</v>
      </c>
      <c r="L22" t="str">
        <f t="shared" si="0"/>
        <v>INSERT INTO photo_table(serial_number,user_name,filming_date,film_number,title,favorites_level,camera_code,memo,file_pass,thumbnail_pass,secret_flug) VALUES(17,'IK',to_date('2018/04/15','yyyy/mm/dd'),2,NULL,NULL,2,NULL,'photo_data/IK/20180415/20180415_002_Cinestill 50D.jpg','photo_data/IK/20180415/thumbnail/thumbnail_20180415_002_Cinestill 50D.jpg',0);</v>
      </c>
    </row>
    <row r="23" spans="1:12">
      <c r="A23">
        <v>18</v>
      </c>
      <c r="B23" t="s">
        <v>278</v>
      </c>
      <c r="C23" s="101" t="s">
        <v>234</v>
      </c>
      <c r="D23">
        <v>3</v>
      </c>
      <c r="G23">
        <v>2</v>
      </c>
      <c r="I23" t="s">
        <v>476</v>
      </c>
      <c r="J23" t="s">
        <v>477</v>
      </c>
      <c r="K23">
        <v>0</v>
      </c>
      <c r="L23" t="str">
        <f t="shared" si="0"/>
        <v>INSERT INTO photo_table(serial_number,user_name,filming_date,film_number,title,favorites_level,camera_code,memo,file_pass,thumbnail_pass,secret_flug) VALUES(18,'IK',to_date('2018/04/15','yyyy/mm/dd'),3,NULL,NULL,2,NULL,'photo_data/IK/20180415/20180415_003_Cinestill 50D.jpg','photo_data/IK/20180415/thumbnail/thumbnail_20180415_003_Cinestill 50D.jpg',0);</v>
      </c>
    </row>
    <row r="24" spans="1:12">
      <c r="A24">
        <v>19</v>
      </c>
      <c r="B24" t="s">
        <v>278</v>
      </c>
      <c r="C24" s="101" t="s">
        <v>234</v>
      </c>
      <c r="D24">
        <v>4</v>
      </c>
      <c r="G24">
        <v>2</v>
      </c>
      <c r="I24" t="s">
        <v>478</v>
      </c>
      <c r="J24" t="s">
        <v>479</v>
      </c>
      <c r="K24">
        <v>0</v>
      </c>
      <c r="L24" t="str">
        <f t="shared" si="0"/>
        <v>INSERT INTO photo_table(serial_number,user_name,filming_date,film_number,title,favorites_level,camera_code,memo,file_pass,thumbnail_pass,secret_flug) VALUES(19,'IK',to_date('2018/04/15','yyyy/mm/dd'),4,NULL,NULL,2,NULL,'photo_data/IK/20180415/20180415_004_Cinestill 50D.jpg','photo_data/IK/20180415/thumbnail/thumbnail_20180415_004_Cinestill 50D.jpg',0);</v>
      </c>
    </row>
    <row r="25" spans="1:12">
      <c r="A25">
        <v>20</v>
      </c>
      <c r="B25" t="s">
        <v>278</v>
      </c>
      <c r="C25" s="101" t="s">
        <v>234</v>
      </c>
      <c r="D25">
        <v>5</v>
      </c>
      <c r="F25">
        <v>5</v>
      </c>
      <c r="G25">
        <v>2</v>
      </c>
      <c r="I25" t="s">
        <v>480</v>
      </c>
      <c r="J25" t="s">
        <v>481</v>
      </c>
      <c r="K25">
        <v>0</v>
      </c>
      <c r="L25" t="str">
        <f>"INSERT INTO photo_table(serial_number,user_name,filming_date,film_number,title,favorites_level,camera_code,memo,file_pass,thumbnail_pass,secret_flug) VALUES("&amp; IF(A25="","NULL",A25) &amp; ","&amp; IF(B25="","NULL", "'" &amp; B25 &amp; "'") &amp; ","&amp; IF(C25="","NULL","to_date('" &amp; C25 &amp; "','yyyy/mm/dd')") &amp; ","&amp; IF(D25="","NULL",D25) &amp; ","&amp; IF(E25="","NULL",E25) &amp; ","&amp; IF(F25="","NULL",F25) &amp; ","&amp; IF(G25="","NULL",G25) &amp; ","&amp; IF(H25="","NULL",H25) &amp; ","&amp; IF(I25="","NULL", "'" &amp; I25 &amp; "'") &amp; ","&amp; IF(J25="","NULL", "'" &amp; J25 &amp; "'") &amp; ","&amp; IF(K25="","NULL",K25) &amp; ");"</f>
        <v>INSERT INTO photo_table(serial_number,user_name,filming_date,film_number,title,favorites_level,camera_code,memo,file_pass,thumbnail_pass,secret_flug) VALUES(20,'IK',to_date('2018/04/15','yyyy/mm/dd'),5,NULL,5,2,NULL,'photo_data/IK/20180415/20180415_005_Cinestill 50D.jpg','photo_data/IK/20180415/thumbnail/thumbnail_20180415_005_Cinestill 50D.jpg',0);</v>
      </c>
    </row>
    <row r="26" spans="1:12">
      <c r="A26">
        <v>21</v>
      </c>
      <c r="B26" t="s">
        <v>440</v>
      </c>
    </row>
    <row r="27" spans="1:12">
      <c r="A27">
        <v>22</v>
      </c>
      <c r="B27" t="s">
        <v>440</v>
      </c>
    </row>
    <row r="28" spans="1:12">
      <c r="A28">
        <v>23</v>
      </c>
      <c r="B28" t="s">
        <v>278</v>
      </c>
      <c r="C28" s="101" t="s">
        <v>444</v>
      </c>
      <c r="D28">
        <v>1</v>
      </c>
      <c r="G28">
        <v>1</v>
      </c>
      <c r="I28" t="s">
        <v>482</v>
      </c>
      <c r="J28" t="s">
        <v>483</v>
      </c>
      <c r="K28">
        <v>0</v>
      </c>
      <c r="L28" t="str">
        <f t="shared" ref="L28:L50" si="1">"INSERT INTO photo_table(serial_number,user_name,filming_date,film_number,title,favorites_level,camera_code,memo,file_pass,thumbnail_pass,secret_flug) VALUES("&amp; IF(A28="","NULL",A28) &amp; ","&amp; IF(B28="","NULL", "'" &amp; B28 &amp; "'") &amp; ","&amp; IF(C28="","NULL","to_date('" &amp; C28 &amp; "','yyyy/mm/dd')") &amp; ","&amp; IF(D28="","NULL",D28) &amp; ","&amp; IF(E28="","NULL",E28) &amp; ","&amp; IF(F28="","NULL",F28) &amp; ","&amp; IF(G28="","NULL",G28) &amp; ","&amp; IF(H28="","NULL",H28) &amp; ","&amp; IF(I28="","NULL", "'" &amp; I28 &amp; "'") &amp; ","&amp; IF(J28="","NULL", "'" &amp; J28 &amp; "'") &amp; ","&amp; IF(K28="","NULL",K28) &amp; ");"</f>
        <v>INSERT INTO photo_table(serial_number,user_name,filming_date,film_number,title,favorites_level,camera_code,memo,file_pass,thumbnail_pass,secret_flug) VALUES(23,'IK',to_date('2014/07/25','yyyy/mm/dd'),1,NULL,NULL,1,NULL,'photo_data/IK/20140725/20140725_001_Unknown.JPG','photo_data/IK/20140725/thumbnail/thumbnail_20140725_001_Unknown.JPG',0);</v>
      </c>
    </row>
    <row r="29" spans="1:12">
      <c r="A29">
        <v>24</v>
      </c>
      <c r="B29" t="s">
        <v>278</v>
      </c>
      <c r="C29" s="101" t="s">
        <v>441</v>
      </c>
      <c r="D29">
        <v>2</v>
      </c>
      <c r="G29">
        <v>1</v>
      </c>
      <c r="I29" t="s">
        <v>484</v>
      </c>
      <c r="J29" t="s">
        <v>485</v>
      </c>
      <c r="K29">
        <v>0</v>
      </c>
      <c r="L29" t="str">
        <f t="shared" si="1"/>
        <v>INSERT INTO photo_table(serial_number,user_name,filming_date,film_number,title,favorites_level,camera_code,memo,file_pass,thumbnail_pass,secret_flug) VALUES(24,'IK',to_date('2014/07/25','yyyy/mm/dd'),2,NULL,NULL,1,NULL,'photo_data/IK/20140725/20140725_002_Unknown.JPG','photo_data/IK/20140725/thumbnail/thumbnail_20140725_002_Unknown.JPG',0);</v>
      </c>
    </row>
    <row r="30" spans="1:12">
      <c r="A30">
        <v>25</v>
      </c>
      <c r="B30" t="s">
        <v>278</v>
      </c>
      <c r="C30" s="101" t="s">
        <v>441</v>
      </c>
      <c r="D30">
        <v>3</v>
      </c>
      <c r="G30">
        <v>1</v>
      </c>
      <c r="I30" t="s">
        <v>486</v>
      </c>
      <c r="J30" t="s">
        <v>487</v>
      </c>
      <c r="K30">
        <v>0</v>
      </c>
      <c r="L30" t="str">
        <f t="shared" si="1"/>
        <v>INSERT INTO photo_table(serial_number,user_name,filming_date,film_number,title,favorites_level,camera_code,memo,file_pass,thumbnail_pass,secret_flug) VALUES(25,'IK',to_date('2014/07/25','yyyy/mm/dd'),3,NULL,NULL,1,NULL,'photo_data/IK/20140725/20140725_003_Unknown.JPG','photo_data/IK/20140725/thumbnail/thumbnail_20140725_003_Unknown.JPG',0);</v>
      </c>
    </row>
    <row r="31" spans="1:12">
      <c r="A31">
        <v>26</v>
      </c>
      <c r="B31" t="s">
        <v>278</v>
      </c>
      <c r="C31" s="101" t="s">
        <v>441</v>
      </c>
      <c r="D31">
        <v>4</v>
      </c>
      <c r="G31">
        <v>1</v>
      </c>
      <c r="I31" t="s">
        <v>488</v>
      </c>
      <c r="J31" t="s">
        <v>489</v>
      </c>
      <c r="K31">
        <v>0</v>
      </c>
      <c r="L31" t="str">
        <f t="shared" si="1"/>
        <v>INSERT INTO photo_table(serial_number,user_name,filming_date,film_number,title,favorites_level,camera_code,memo,file_pass,thumbnail_pass,secret_flug) VALUES(26,'IK',to_date('2014/07/25','yyyy/mm/dd'),4,NULL,NULL,1,NULL,'photo_data/IK/20140725/20140725_004_Unknown.JPG','photo_data/IK/20140725/thumbnail/thumbnail_20140725_004_Unknown.JPG',0);</v>
      </c>
    </row>
    <row r="32" spans="1:12">
      <c r="A32">
        <v>27</v>
      </c>
      <c r="B32" t="s">
        <v>278</v>
      </c>
      <c r="C32" s="101" t="s">
        <v>441</v>
      </c>
      <c r="D32">
        <v>5</v>
      </c>
      <c r="G32">
        <v>1</v>
      </c>
      <c r="I32" t="s">
        <v>490</v>
      </c>
      <c r="J32" t="s">
        <v>491</v>
      </c>
      <c r="K32">
        <v>0</v>
      </c>
      <c r="L32" t="str">
        <f t="shared" si="1"/>
        <v>INSERT INTO photo_table(serial_number,user_name,filming_date,film_number,title,favorites_level,camera_code,memo,file_pass,thumbnail_pass,secret_flug) VALUES(27,'IK',to_date('2014/07/25','yyyy/mm/dd'),5,NULL,NULL,1,NULL,'photo_data/IK/20140725/20140725_005_Unknown.JPG','photo_data/IK/20140725/thumbnail/thumbnail_20140725_005_Unknown.JPG',0);</v>
      </c>
    </row>
    <row r="33" spans="1:12">
      <c r="A33">
        <v>28</v>
      </c>
      <c r="B33" t="s">
        <v>278</v>
      </c>
      <c r="C33" s="101" t="s">
        <v>441</v>
      </c>
      <c r="D33">
        <v>6</v>
      </c>
      <c r="G33">
        <v>1</v>
      </c>
      <c r="I33" t="s">
        <v>492</v>
      </c>
      <c r="J33" t="s">
        <v>493</v>
      </c>
      <c r="K33">
        <v>0</v>
      </c>
      <c r="L33" t="str">
        <f t="shared" si="1"/>
        <v>INSERT INTO photo_table(serial_number,user_name,filming_date,film_number,title,favorites_level,camera_code,memo,file_pass,thumbnail_pass,secret_flug) VALUES(28,'IK',to_date('2014/07/25','yyyy/mm/dd'),6,NULL,NULL,1,NULL,'photo_data/IK/20140725/20140725_006_Unknown.JPG','photo_data/IK/20140725/thumbnail/thumbnail_20140725_006_Unknown.JPG',0);</v>
      </c>
    </row>
    <row r="34" spans="1:12">
      <c r="A34">
        <v>29</v>
      </c>
      <c r="B34" t="s">
        <v>278</v>
      </c>
      <c r="C34" s="101" t="s">
        <v>441</v>
      </c>
      <c r="D34">
        <v>7</v>
      </c>
      <c r="G34">
        <v>1</v>
      </c>
      <c r="I34" t="s">
        <v>494</v>
      </c>
      <c r="J34" t="s">
        <v>495</v>
      </c>
      <c r="K34">
        <v>0</v>
      </c>
      <c r="L34" t="str">
        <f t="shared" si="1"/>
        <v>INSERT INTO photo_table(serial_number,user_name,filming_date,film_number,title,favorites_level,camera_code,memo,file_pass,thumbnail_pass,secret_flug) VALUES(29,'IK',to_date('2014/07/25','yyyy/mm/dd'),7,NULL,NULL,1,NULL,'photo_data/IK/20140725/20140725_007_Unknown.JPG','photo_data/IK/20140725/thumbnail/thumbnail_20140725_007_Unknown.JPG',0);</v>
      </c>
    </row>
    <row r="35" spans="1:12">
      <c r="A35">
        <v>30</v>
      </c>
      <c r="B35" t="s">
        <v>278</v>
      </c>
      <c r="C35" s="101" t="s">
        <v>441</v>
      </c>
      <c r="D35">
        <v>8</v>
      </c>
      <c r="G35">
        <v>1</v>
      </c>
      <c r="I35" t="s">
        <v>496</v>
      </c>
      <c r="J35" t="s">
        <v>497</v>
      </c>
      <c r="K35">
        <v>0</v>
      </c>
      <c r="L35" t="str">
        <f t="shared" si="1"/>
        <v>INSERT INTO photo_table(serial_number,user_name,filming_date,film_number,title,favorites_level,camera_code,memo,file_pass,thumbnail_pass,secret_flug) VALUES(30,'IK',to_date('2014/07/25','yyyy/mm/dd'),8,NULL,NULL,1,NULL,'photo_data/IK/20140725/20140725_008_Unknown.JPG','photo_data/IK/20140725/thumbnail/thumbnail_20140725_008_Unknown.JPG',0);</v>
      </c>
    </row>
    <row r="36" spans="1:12">
      <c r="A36">
        <v>31</v>
      </c>
      <c r="B36" t="s">
        <v>278</v>
      </c>
      <c r="C36" s="101" t="s">
        <v>441</v>
      </c>
      <c r="D36">
        <v>9</v>
      </c>
      <c r="G36">
        <v>1</v>
      </c>
      <c r="I36" t="s">
        <v>498</v>
      </c>
      <c r="J36" t="s">
        <v>499</v>
      </c>
      <c r="K36">
        <v>0</v>
      </c>
      <c r="L36" t="str">
        <f t="shared" si="1"/>
        <v>INSERT INTO photo_table(serial_number,user_name,filming_date,film_number,title,favorites_level,camera_code,memo,file_pass,thumbnail_pass,secret_flug) VALUES(31,'IK',to_date('2014/07/25','yyyy/mm/dd'),9,NULL,NULL,1,NULL,'photo_data/IK/20140725/20140725_009_Unknown.JPG','photo_data/IK/20140725/thumbnail/thumbnail_20140725_009_Unknown.JPG',0);</v>
      </c>
    </row>
    <row r="37" spans="1:12">
      <c r="A37">
        <v>32</v>
      </c>
      <c r="B37" t="s">
        <v>278</v>
      </c>
      <c r="C37" s="101" t="s">
        <v>441</v>
      </c>
      <c r="D37">
        <v>10</v>
      </c>
      <c r="G37">
        <v>1</v>
      </c>
      <c r="I37" t="s">
        <v>500</v>
      </c>
      <c r="J37" t="s">
        <v>501</v>
      </c>
      <c r="K37">
        <v>0</v>
      </c>
      <c r="L37" t="str">
        <f t="shared" si="1"/>
        <v>INSERT INTO photo_table(serial_number,user_name,filming_date,film_number,title,favorites_level,camera_code,memo,file_pass,thumbnail_pass,secret_flug) VALUES(32,'IK',to_date('2014/07/25','yyyy/mm/dd'),10,NULL,NULL,1,NULL,'photo_data/IK/20140725/20140725_010_Unknown.JPG','photo_data/IK/20140725/thumbnail/thumbnail_20140725_010_Unknown.JPG',0);</v>
      </c>
    </row>
    <row r="38" spans="1:12">
      <c r="A38">
        <v>33</v>
      </c>
      <c r="B38" t="s">
        <v>278</v>
      </c>
      <c r="C38" s="101" t="s">
        <v>442</v>
      </c>
      <c r="D38">
        <v>1</v>
      </c>
      <c r="G38">
        <v>2</v>
      </c>
      <c r="I38" t="s">
        <v>502</v>
      </c>
      <c r="J38" t="s">
        <v>503</v>
      </c>
      <c r="K38">
        <v>0</v>
      </c>
      <c r="L38" t="str">
        <f t="shared" si="1"/>
        <v>INSERT INTO photo_table(serial_number,user_name,filming_date,film_number,title,favorites_level,camera_code,memo,file_pass,thumbnail_pass,secret_flug) VALUES(33,'IK',to_date('2018/07/04','yyyy/mm/dd'),1,NULL,NULL,2,NULL,'photo_data/IK/20180704/20180704_001_JCH STREET PAN 400.jpg','photo_data/IK/20180704/thumbnail/thumbnail_20180704_001_JCH STREET PAN 400.jpg',0);</v>
      </c>
    </row>
    <row r="39" spans="1:12">
      <c r="A39">
        <v>34</v>
      </c>
      <c r="B39" t="s">
        <v>278</v>
      </c>
      <c r="C39" s="101" t="s">
        <v>442</v>
      </c>
      <c r="D39">
        <v>2</v>
      </c>
      <c r="G39">
        <v>2</v>
      </c>
      <c r="I39" t="s">
        <v>504</v>
      </c>
      <c r="J39" t="s">
        <v>505</v>
      </c>
      <c r="K39">
        <v>0</v>
      </c>
      <c r="L39" t="str">
        <f t="shared" si="1"/>
        <v>INSERT INTO photo_table(serial_number,user_name,filming_date,film_number,title,favorites_level,camera_code,memo,file_pass,thumbnail_pass,secret_flug) VALUES(34,'IK',to_date('2018/07/04','yyyy/mm/dd'),2,NULL,NULL,2,NULL,'photo_data/IK/20180704/20180704_002_JCH STREET PAN 400.jpg','photo_data/IK/20180704/thumbnail/thumbnail_20180704_002_JCH STREET PAN 400.jpg',0);</v>
      </c>
    </row>
    <row r="40" spans="1:12">
      <c r="A40">
        <v>35</v>
      </c>
      <c r="B40" t="s">
        <v>278</v>
      </c>
      <c r="C40" s="101" t="s">
        <v>442</v>
      </c>
      <c r="D40">
        <v>3</v>
      </c>
      <c r="G40">
        <v>2</v>
      </c>
      <c r="I40" t="s">
        <v>506</v>
      </c>
      <c r="J40" t="s">
        <v>507</v>
      </c>
      <c r="K40">
        <v>0</v>
      </c>
      <c r="L40" t="str">
        <f t="shared" si="1"/>
        <v>INSERT INTO photo_table(serial_number,user_name,filming_date,film_number,title,favorites_level,camera_code,memo,file_pass,thumbnail_pass,secret_flug) VALUES(35,'IK',to_date('2018/07/04','yyyy/mm/dd'),3,NULL,NULL,2,NULL,'photo_data/IK/20180704/20180704_003_JCH STREET PAN 400.jpg','photo_data/IK/20180704/thumbnail/thumbnail_20180704_003_JCH STREET PAN 400.jpg',0);</v>
      </c>
    </row>
    <row r="41" spans="1:12">
      <c r="A41">
        <v>36</v>
      </c>
      <c r="B41" t="s">
        <v>278</v>
      </c>
      <c r="C41" s="101" t="s">
        <v>442</v>
      </c>
      <c r="D41">
        <v>4</v>
      </c>
      <c r="G41">
        <v>2</v>
      </c>
      <c r="I41" t="s">
        <v>508</v>
      </c>
      <c r="J41" t="s">
        <v>509</v>
      </c>
      <c r="K41">
        <v>0</v>
      </c>
      <c r="L41" t="str">
        <f t="shared" si="1"/>
        <v>INSERT INTO photo_table(serial_number,user_name,filming_date,film_number,title,favorites_level,camera_code,memo,file_pass,thumbnail_pass,secret_flug) VALUES(36,'IK',to_date('2018/07/04','yyyy/mm/dd'),4,NULL,NULL,2,NULL,'photo_data/IK/20180704/20180704_004_JCH STREET PAN 400.jpg','photo_data/IK/20180704/thumbnail/thumbnail_20180704_004_JCH STREET PAN 400.jpg',0);</v>
      </c>
    </row>
    <row r="42" spans="1:12">
      <c r="A42">
        <v>37</v>
      </c>
      <c r="B42" t="s">
        <v>278</v>
      </c>
      <c r="C42" s="101" t="s">
        <v>442</v>
      </c>
      <c r="D42">
        <v>5</v>
      </c>
      <c r="G42">
        <v>2</v>
      </c>
      <c r="I42" t="s">
        <v>510</v>
      </c>
      <c r="J42" t="s">
        <v>511</v>
      </c>
      <c r="K42">
        <v>0</v>
      </c>
      <c r="L42" t="str">
        <f t="shared" si="1"/>
        <v>INSERT INTO photo_table(serial_number,user_name,filming_date,film_number,title,favorites_level,camera_code,memo,file_pass,thumbnail_pass,secret_flug) VALUES(37,'IK',to_date('2018/07/04','yyyy/mm/dd'),5,NULL,NULL,2,NULL,'photo_data/IK/20180704/20180704_005_JCH STREET PAN 400.jpg','photo_data/IK/20180704/thumbnail/thumbnail_20180704_005_JCH STREET PAN 400.jpg',0);</v>
      </c>
    </row>
    <row r="43" spans="1:12">
      <c r="A43">
        <v>38</v>
      </c>
      <c r="B43" t="s">
        <v>278</v>
      </c>
      <c r="C43" s="101" t="s">
        <v>442</v>
      </c>
      <c r="D43">
        <v>6</v>
      </c>
      <c r="G43">
        <v>2</v>
      </c>
      <c r="I43" t="s">
        <v>512</v>
      </c>
      <c r="J43" t="s">
        <v>513</v>
      </c>
      <c r="K43">
        <v>0</v>
      </c>
      <c r="L43" t="str">
        <f t="shared" si="1"/>
        <v>INSERT INTO photo_table(serial_number,user_name,filming_date,film_number,title,favorites_level,camera_code,memo,file_pass,thumbnail_pass,secret_flug) VALUES(38,'IK',to_date('2018/07/04','yyyy/mm/dd'),6,NULL,NULL,2,NULL,'photo_data/IK/20180704/20180704_006_JCH STREET PAN 400.jpg','photo_data/IK/20180704/thumbnail/thumbnail_20180704_006_JCH STREET PAN 400.jpg',0);</v>
      </c>
    </row>
    <row r="44" spans="1:12">
      <c r="A44">
        <v>39</v>
      </c>
      <c r="B44" t="s">
        <v>278</v>
      </c>
      <c r="C44" s="101" t="s">
        <v>442</v>
      </c>
      <c r="D44">
        <v>7</v>
      </c>
      <c r="G44">
        <v>2</v>
      </c>
      <c r="I44" t="s">
        <v>514</v>
      </c>
      <c r="J44" t="s">
        <v>515</v>
      </c>
      <c r="K44">
        <v>0</v>
      </c>
      <c r="L44" t="str">
        <f t="shared" si="1"/>
        <v>INSERT INTO photo_table(serial_number,user_name,filming_date,film_number,title,favorites_level,camera_code,memo,file_pass,thumbnail_pass,secret_flug) VALUES(39,'IK',to_date('2018/07/04','yyyy/mm/dd'),7,NULL,NULL,2,NULL,'photo_data/IK/20180704/20180704_007_JCH STREET PAN 400.jpg','photo_data/IK/20180704/thumbnail/thumbnail_20180704_007_JCH STREET PAN 400.jpg',0);</v>
      </c>
    </row>
    <row r="45" spans="1:12">
      <c r="A45">
        <v>40</v>
      </c>
      <c r="B45" t="s">
        <v>278</v>
      </c>
      <c r="C45" s="101" t="s">
        <v>442</v>
      </c>
      <c r="D45">
        <v>8</v>
      </c>
      <c r="G45">
        <v>2</v>
      </c>
      <c r="I45" t="s">
        <v>516</v>
      </c>
      <c r="J45" t="s">
        <v>517</v>
      </c>
      <c r="K45">
        <v>0</v>
      </c>
      <c r="L45" t="str">
        <f t="shared" si="1"/>
        <v>INSERT INTO photo_table(serial_number,user_name,filming_date,film_number,title,favorites_level,camera_code,memo,file_pass,thumbnail_pass,secret_flug) VALUES(40,'IK',to_date('2018/07/04','yyyy/mm/dd'),8,NULL,NULL,2,NULL,'photo_data/IK/20180704/20180704_008_JCH STREET PAN 400.jpg','photo_data/IK/20180704/thumbnail/thumbnail_20180704_008_JCH STREET PAN 400.jpg',0);</v>
      </c>
    </row>
    <row r="46" spans="1:12">
      <c r="A46">
        <v>41</v>
      </c>
      <c r="B46" t="s">
        <v>278</v>
      </c>
      <c r="C46" s="101" t="s">
        <v>442</v>
      </c>
      <c r="D46">
        <v>9</v>
      </c>
      <c r="G46">
        <v>2</v>
      </c>
      <c r="I46" t="s">
        <v>518</v>
      </c>
      <c r="J46" t="s">
        <v>519</v>
      </c>
      <c r="K46">
        <v>0</v>
      </c>
      <c r="L46" t="str">
        <f t="shared" si="1"/>
        <v>INSERT INTO photo_table(serial_number,user_name,filming_date,film_number,title,favorites_level,camera_code,memo,file_pass,thumbnail_pass,secret_flug) VALUES(41,'IK',to_date('2018/07/04','yyyy/mm/dd'),9,NULL,NULL,2,NULL,'photo_data/IK/20180704/20180704_009_JCH STREET PAN 400.jpg','photo_data/IK/20180704/thumbnail/thumbnail_20180704_009_JCH STREET PAN 400.jpg',0);</v>
      </c>
    </row>
    <row r="47" spans="1:12">
      <c r="A47">
        <v>42</v>
      </c>
      <c r="B47" t="s">
        <v>278</v>
      </c>
      <c r="C47" s="101" t="s">
        <v>442</v>
      </c>
      <c r="D47">
        <v>10</v>
      </c>
      <c r="G47">
        <v>2</v>
      </c>
      <c r="I47" t="s">
        <v>520</v>
      </c>
      <c r="J47" t="s">
        <v>521</v>
      </c>
      <c r="K47">
        <v>0</v>
      </c>
      <c r="L47" t="str">
        <f t="shared" si="1"/>
        <v>INSERT INTO photo_table(serial_number,user_name,filming_date,film_number,title,favorites_level,camera_code,memo,file_pass,thumbnail_pass,secret_flug) VALUES(42,'IK',to_date('2018/07/04','yyyy/mm/dd'),10,NULL,NULL,2,NULL,'photo_data/IK/20180704/20180704_010_JCH STREET PAN 400.jpg','photo_data/IK/20180704/thumbnail/thumbnail_20180704_010_JCH STREET PAN 400.jpg',0);</v>
      </c>
    </row>
    <row r="48" spans="1:12">
      <c r="A48">
        <v>43</v>
      </c>
      <c r="B48" t="s">
        <v>278</v>
      </c>
      <c r="C48" s="101" t="s">
        <v>443</v>
      </c>
      <c r="D48">
        <v>1</v>
      </c>
      <c r="I48" t="s">
        <v>522</v>
      </c>
      <c r="J48" t="s">
        <v>523</v>
      </c>
      <c r="K48">
        <v>0</v>
      </c>
      <c r="L48" t="str">
        <f t="shared" si="1"/>
        <v>INSERT INTO photo_table(serial_number,user_name,filming_date,film_number,title,favorites_level,camera_code,memo,file_pass,thumbnail_pass,secret_flug) VALUES(43,'IK',to_date('2014/08/09','yyyy/mm/dd'),1,NULL,NULL,NULL,NULL,'photo_data/IK/20140809/20140809_001_Unknown.JPG','photo_data/IK/20140809/thumbnail/thumbnail_20140809_001_Unknown.JPG',0);</v>
      </c>
    </row>
    <row r="49" spans="1:12">
      <c r="A49">
        <v>44</v>
      </c>
      <c r="B49" t="s">
        <v>278</v>
      </c>
      <c r="C49" s="101" t="s">
        <v>443</v>
      </c>
      <c r="D49">
        <v>2</v>
      </c>
      <c r="I49" t="s">
        <v>524</v>
      </c>
      <c r="J49" t="s">
        <v>525</v>
      </c>
      <c r="K49">
        <v>0</v>
      </c>
      <c r="L49" t="str">
        <f t="shared" si="1"/>
        <v>INSERT INTO photo_table(serial_number,user_name,filming_date,film_number,title,favorites_level,camera_code,memo,file_pass,thumbnail_pass,secret_flug) VALUES(44,'IK',to_date('2014/08/09','yyyy/mm/dd'),2,NULL,NULL,NULL,NULL,'photo_data/IK/20140809/20140809_002_Unknown.JPG','photo_data/IK/20140809/thumbnail/thumbnail_20140809_002_Unknown.JPG',0);</v>
      </c>
    </row>
    <row r="50" spans="1:12">
      <c r="A50">
        <v>45</v>
      </c>
      <c r="B50" t="s">
        <v>278</v>
      </c>
      <c r="C50" s="101" t="s">
        <v>443</v>
      </c>
      <c r="D50">
        <v>3</v>
      </c>
      <c r="I50" t="s">
        <v>526</v>
      </c>
      <c r="J50" t="s">
        <v>527</v>
      </c>
      <c r="K50">
        <v>0</v>
      </c>
      <c r="L50" t="str">
        <f t="shared" si="1"/>
        <v>INSERT INTO photo_table(serial_number,user_name,filming_date,film_number,title,favorites_level,camera_code,memo,file_pass,thumbnail_pass,secret_flug) VALUES(45,'IK',to_date('2014/08/09','yyyy/mm/dd'),3,NULL,NULL,NULL,NULL,'photo_data/IK/20140809/20140809_003_Unknown.JPG','photo_data/IK/20140809/thumbnail/thumbnail_20140809_003_Unknown.JPG',0);</v>
      </c>
    </row>
    <row r="54" spans="1:12">
      <c r="A54" s="69" t="s">
        <v>147</v>
      </c>
      <c r="B54" s="69" t="s">
        <v>250</v>
      </c>
      <c r="C54" s="69" t="s">
        <v>127</v>
      </c>
      <c r="D54" s="69" t="s">
        <v>128</v>
      </c>
    </row>
    <row r="55" spans="1:12">
      <c r="A55" s="69" t="s">
        <v>710</v>
      </c>
      <c r="B55" s="69" t="s">
        <v>708</v>
      </c>
      <c r="C55" s="69" t="s">
        <v>709</v>
      </c>
      <c r="D55" s="69" t="s">
        <v>704</v>
      </c>
    </row>
    <row r="56" spans="1:12">
      <c r="A56">
        <v>1</v>
      </c>
      <c r="B56" t="s">
        <v>278</v>
      </c>
      <c r="C56">
        <v>1</v>
      </c>
      <c r="D56" t="s">
        <v>674</v>
      </c>
      <c r="E56" t="s">
        <v>281</v>
      </c>
    </row>
    <row r="57" spans="1:12">
      <c r="A57">
        <v>2</v>
      </c>
      <c r="B57" t="s">
        <v>278</v>
      </c>
      <c r="C57">
        <v>2</v>
      </c>
      <c r="D57" t="s">
        <v>707</v>
      </c>
      <c r="E57" t="s">
        <v>282</v>
      </c>
    </row>
    <row r="59" spans="1:12">
      <c r="A59" s="73" t="s">
        <v>157</v>
      </c>
      <c r="B59" s="73" t="s">
        <v>158</v>
      </c>
      <c r="C59" s="73" t="s">
        <v>159</v>
      </c>
      <c r="D59" s="73" t="s">
        <v>283</v>
      </c>
      <c r="E59" s="73" t="s">
        <v>284</v>
      </c>
    </row>
    <row r="60" spans="1:12">
      <c r="A60" s="73" t="s">
        <v>251</v>
      </c>
      <c r="B60" s="73" t="s">
        <v>603</v>
      </c>
      <c r="C60" s="73" t="s">
        <v>604</v>
      </c>
      <c r="D60" s="73" t="s">
        <v>605</v>
      </c>
      <c r="E60" s="73" t="s">
        <v>606</v>
      </c>
    </row>
    <row r="61" spans="1:12">
      <c r="A61" t="s">
        <v>222</v>
      </c>
      <c r="B61" t="s">
        <v>223</v>
      </c>
      <c r="D61" t="s">
        <v>285</v>
      </c>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23"/>
  <sheetViews>
    <sheetView workbookViewId="0"/>
  </sheetViews>
  <sheetFormatPr defaultRowHeight="13.3"/>
  <cols>
    <col min="1" max="1" width="71.125" bestFit="1" customWidth="1"/>
  </cols>
  <sheetData>
    <row r="2" spans="1:2" ht="23.8">
      <c r="A2" s="30" t="s">
        <v>308</v>
      </c>
    </row>
    <row r="4" spans="1:2">
      <c r="A4" t="s">
        <v>313</v>
      </c>
    </row>
    <row r="5" spans="1:2">
      <c r="A5" t="s">
        <v>307</v>
      </c>
      <c r="B5" s="117" t="s">
        <v>306</v>
      </c>
    </row>
    <row r="6" spans="1:2">
      <c r="A6" t="s">
        <v>305</v>
      </c>
      <c r="B6" s="117" t="s">
        <v>304</v>
      </c>
    </row>
    <row r="7" spans="1:2">
      <c r="A7" t="s">
        <v>311</v>
      </c>
      <c r="B7" s="117" t="s">
        <v>315</v>
      </c>
    </row>
    <row r="8" spans="1:2">
      <c r="A8" t="s">
        <v>316</v>
      </c>
      <c r="B8" s="117" t="s">
        <v>396</v>
      </c>
    </row>
    <row r="9" spans="1:2">
      <c r="A9" t="s">
        <v>317</v>
      </c>
      <c r="B9" s="117" t="s">
        <v>318</v>
      </c>
    </row>
    <row r="10" spans="1:2">
      <c r="A10" t="s">
        <v>330</v>
      </c>
      <c r="B10" s="117" t="s">
        <v>331</v>
      </c>
    </row>
    <row r="11" spans="1:2">
      <c r="A11" t="s">
        <v>329</v>
      </c>
      <c r="B11" s="117" t="s">
        <v>328</v>
      </c>
    </row>
    <row r="12" spans="1:2">
      <c r="A12" t="s">
        <v>332</v>
      </c>
      <c r="B12" s="117" t="s">
        <v>333</v>
      </c>
    </row>
    <row r="13" spans="1:2">
      <c r="A13" t="s">
        <v>385</v>
      </c>
      <c r="B13" s="117" t="s">
        <v>386</v>
      </c>
    </row>
    <row r="14" spans="1:2">
      <c r="A14" t="s">
        <v>393</v>
      </c>
      <c r="B14" s="117" t="s">
        <v>392</v>
      </c>
    </row>
    <row r="15" spans="1:2">
      <c r="A15" t="s">
        <v>397</v>
      </c>
      <c r="B15" s="117" t="s">
        <v>398</v>
      </c>
    </row>
    <row r="16" spans="1:2">
      <c r="A16" t="s">
        <v>545</v>
      </c>
      <c r="B16" s="117" t="s">
        <v>399</v>
      </c>
    </row>
    <row r="17" spans="1:2">
      <c r="A17" t="s">
        <v>735</v>
      </c>
      <c r="B17" s="117" t="s">
        <v>400</v>
      </c>
    </row>
    <row r="18" spans="1:2">
      <c r="A18" t="s">
        <v>401</v>
      </c>
      <c r="B18" s="117" t="s">
        <v>402</v>
      </c>
    </row>
    <row r="19" spans="1:2">
      <c r="A19" t="s">
        <v>411</v>
      </c>
      <c r="B19" s="117" t="s">
        <v>410</v>
      </c>
    </row>
    <row r="20" spans="1:2">
      <c r="A20" t="s">
        <v>412</v>
      </c>
      <c r="B20" s="117" t="s">
        <v>413</v>
      </c>
    </row>
    <row r="21" spans="1:2">
      <c r="A21" t="s">
        <v>414</v>
      </c>
      <c r="B21" s="117" t="s">
        <v>415</v>
      </c>
    </row>
    <row r="22" spans="1:2">
      <c r="A22" t="s">
        <v>428</v>
      </c>
      <c r="B22" s="117" t="s">
        <v>429</v>
      </c>
    </row>
    <row r="23" spans="1:2">
      <c r="A23" s="121" t="s">
        <v>539</v>
      </c>
      <c r="B23" s="117" t="s">
        <v>540</v>
      </c>
    </row>
    <row r="24" spans="1:2">
      <c r="A24" t="s">
        <v>542</v>
      </c>
      <c r="B24" s="117" t="s">
        <v>541</v>
      </c>
    </row>
    <row r="25" spans="1:2">
      <c r="A25" t="s">
        <v>543</v>
      </c>
      <c r="B25" s="117" t="s">
        <v>544</v>
      </c>
    </row>
    <row r="26" spans="1:2">
      <c r="A26" t="s">
        <v>571</v>
      </c>
      <c r="B26" s="117" t="s">
        <v>572</v>
      </c>
    </row>
    <row r="27" spans="1:2">
      <c r="A27" t="s">
        <v>574</v>
      </c>
      <c r="B27" s="117" t="s">
        <v>573</v>
      </c>
    </row>
    <row r="28" spans="1:2">
      <c r="A28" t="s">
        <v>612</v>
      </c>
      <c r="B28" s="117" t="s">
        <v>613</v>
      </c>
    </row>
    <row r="29" spans="1:2">
      <c r="A29" t="s">
        <v>656</v>
      </c>
      <c r="B29" s="117" t="s">
        <v>655</v>
      </c>
    </row>
    <row r="30" spans="1:2">
      <c r="A30" t="s">
        <v>667</v>
      </c>
      <c r="B30" s="117" t="s">
        <v>666</v>
      </c>
    </row>
    <row r="31" spans="1:2">
      <c r="A31" t="s">
        <v>676</v>
      </c>
      <c r="B31" s="117" t="s">
        <v>677</v>
      </c>
    </row>
    <row r="32" spans="1:2">
      <c r="A32" t="s">
        <v>680</v>
      </c>
      <c r="B32" s="117" t="s">
        <v>681</v>
      </c>
    </row>
    <row r="33" spans="1:2">
      <c r="A33" t="s">
        <v>682</v>
      </c>
      <c r="B33" s="117" t="s">
        <v>683</v>
      </c>
    </row>
    <row r="34" spans="1:2">
      <c r="A34" t="s">
        <v>688</v>
      </c>
      <c r="B34" s="117" t="s">
        <v>689</v>
      </c>
    </row>
    <row r="35" spans="1:2">
      <c r="A35" t="s">
        <v>700</v>
      </c>
      <c r="B35" s="117" t="s">
        <v>701</v>
      </c>
    </row>
    <row r="36" spans="1:2">
      <c r="A36" t="s">
        <v>702</v>
      </c>
      <c r="B36" s="117" t="s">
        <v>703</v>
      </c>
    </row>
    <row r="37" spans="1:2">
      <c r="A37" t="s">
        <v>752</v>
      </c>
      <c r="B37" s="117" t="s">
        <v>753</v>
      </c>
    </row>
    <row r="38" spans="1:2">
      <c r="A38" t="s">
        <v>754</v>
      </c>
      <c r="B38" s="117" t="s">
        <v>755</v>
      </c>
    </row>
    <row r="39" spans="1:2">
      <c r="A39" t="s">
        <v>817</v>
      </c>
      <c r="B39" s="117" t="s">
        <v>818</v>
      </c>
    </row>
    <row r="40" spans="1:2">
      <c r="A40" t="s">
        <v>823</v>
      </c>
      <c r="B40" s="117" t="s">
        <v>824</v>
      </c>
    </row>
    <row r="41" spans="1:2">
      <c r="A41" t="s">
        <v>863</v>
      </c>
      <c r="B41" s="117" t="s">
        <v>864</v>
      </c>
    </row>
    <row r="42" spans="1:2">
      <c r="A42" t="s">
        <v>869</v>
      </c>
      <c r="B42" s="117" t="s">
        <v>870</v>
      </c>
    </row>
    <row r="43" spans="1:2">
      <c r="A43" t="s">
        <v>872</v>
      </c>
      <c r="B43" s="117" t="s">
        <v>871</v>
      </c>
    </row>
    <row r="44" spans="1:2">
      <c r="A44" t="s">
        <v>877</v>
      </c>
      <c r="B44" s="117" t="s">
        <v>878</v>
      </c>
    </row>
    <row r="45" spans="1:2">
      <c r="A45" t="s">
        <v>880</v>
      </c>
      <c r="B45" s="117" t="s">
        <v>879</v>
      </c>
    </row>
    <row r="46" spans="1:2">
      <c r="A46" t="s">
        <v>881</v>
      </c>
      <c r="B46" s="117" t="s">
        <v>882</v>
      </c>
    </row>
    <row r="47" spans="1:2">
      <c r="A47" t="s">
        <v>884</v>
      </c>
      <c r="B47" s="117" t="s">
        <v>883</v>
      </c>
    </row>
    <row r="48" spans="1:2">
      <c r="A48" t="s">
        <v>885</v>
      </c>
      <c r="B48" s="117" t="s">
        <v>886</v>
      </c>
    </row>
    <row r="49" spans="1:2">
      <c r="A49" t="s">
        <v>887</v>
      </c>
      <c r="B49" s="117" t="s">
        <v>888</v>
      </c>
    </row>
    <row r="50" spans="1:2">
      <c r="A50" t="s">
        <v>889</v>
      </c>
      <c r="B50" s="117" t="s">
        <v>890</v>
      </c>
    </row>
    <row r="51" spans="1:2">
      <c r="A51" t="s">
        <v>891</v>
      </c>
      <c r="B51" s="117" t="s">
        <v>892</v>
      </c>
    </row>
    <row r="52" spans="1:2">
      <c r="B52" s="117"/>
    </row>
    <row r="53" spans="1:2">
      <c r="B53" s="117"/>
    </row>
    <row r="54" spans="1:2">
      <c r="A54" t="s">
        <v>312</v>
      </c>
      <c r="B54" s="117"/>
    </row>
    <row r="55" spans="1:2">
      <c r="A55" t="s">
        <v>303</v>
      </c>
      <c r="B55" s="117" t="s">
        <v>302</v>
      </c>
    </row>
    <row r="56" spans="1:2">
      <c r="A56" t="s">
        <v>301</v>
      </c>
      <c r="B56" s="117" t="s">
        <v>300</v>
      </c>
    </row>
    <row r="57" spans="1:2">
      <c r="A57" t="s">
        <v>299</v>
      </c>
      <c r="B57" s="117" t="s">
        <v>298</v>
      </c>
    </row>
    <row r="58" spans="1:2">
      <c r="A58" t="s">
        <v>297</v>
      </c>
      <c r="B58" s="117" t="s">
        <v>296</v>
      </c>
    </row>
    <row r="59" spans="1:2">
      <c r="A59" t="s">
        <v>295</v>
      </c>
      <c r="B59" s="117" t="s">
        <v>294</v>
      </c>
    </row>
    <row r="60" spans="1:2">
      <c r="A60" t="s">
        <v>293</v>
      </c>
      <c r="B60" s="117" t="s">
        <v>292</v>
      </c>
    </row>
    <row r="61" spans="1:2">
      <c r="A61" t="s">
        <v>326</v>
      </c>
      <c r="B61" s="117" t="s">
        <v>327</v>
      </c>
    </row>
    <row r="62" spans="1:2">
      <c r="A62" t="s">
        <v>334</v>
      </c>
      <c r="B62" s="117" t="s">
        <v>335</v>
      </c>
    </row>
    <row r="63" spans="1:2">
      <c r="A63" t="s">
        <v>528</v>
      </c>
      <c r="B63" s="117" t="s">
        <v>529</v>
      </c>
    </row>
    <row r="64" spans="1:2">
      <c r="B64" s="117" t="s">
        <v>530</v>
      </c>
    </row>
    <row r="65" spans="1:2">
      <c r="B65" s="117" t="s">
        <v>531</v>
      </c>
    </row>
    <row r="66" spans="1:2">
      <c r="B66" s="117" t="s">
        <v>532</v>
      </c>
    </row>
    <row r="67" spans="1:2">
      <c r="A67" t="s">
        <v>557</v>
      </c>
      <c r="B67" s="117" t="s">
        <v>558</v>
      </c>
    </row>
    <row r="68" spans="1:2">
      <c r="A68" t="s">
        <v>559</v>
      </c>
      <c r="B68" s="117" t="s">
        <v>560</v>
      </c>
    </row>
    <row r="69" spans="1:2">
      <c r="A69" t="s">
        <v>561</v>
      </c>
      <c r="B69" s="117" t="s">
        <v>562</v>
      </c>
    </row>
    <row r="70" spans="1:2">
      <c r="A70" t="s">
        <v>563</v>
      </c>
      <c r="B70" s="117" t="s">
        <v>564</v>
      </c>
    </row>
    <row r="71" spans="1:2">
      <c r="A71" t="s">
        <v>565</v>
      </c>
      <c r="B71" s="117" t="s">
        <v>566</v>
      </c>
    </row>
    <row r="72" spans="1:2">
      <c r="A72" t="s">
        <v>567</v>
      </c>
      <c r="B72" s="117" t="s">
        <v>568</v>
      </c>
    </row>
    <row r="73" spans="1:2">
      <c r="A73" t="s">
        <v>569</v>
      </c>
      <c r="B73" s="117" t="s">
        <v>570</v>
      </c>
    </row>
    <row r="74" spans="1:2">
      <c r="A74" t="s">
        <v>575</v>
      </c>
      <c r="B74" s="117" t="s">
        <v>576</v>
      </c>
    </row>
    <row r="75" spans="1:2">
      <c r="A75" t="s">
        <v>582</v>
      </c>
      <c r="B75" s="117" t="s">
        <v>583</v>
      </c>
    </row>
    <row r="76" spans="1:2">
      <c r="A76" t="s">
        <v>584</v>
      </c>
      <c r="B76" s="117" t="s">
        <v>585</v>
      </c>
    </row>
    <row r="77" spans="1:2">
      <c r="A77" t="s">
        <v>586</v>
      </c>
      <c r="B77" s="117" t="s">
        <v>587</v>
      </c>
    </row>
    <row r="78" spans="1:2">
      <c r="A78" t="s">
        <v>588</v>
      </c>
      <c r="B78" s="117" t="s">
        <v>589</v>
      </c>
    </row>
    <row r="79" spans="1:2">
      <c r="A79" t="s">
        <v>590</v>
      </c>
      <c r="B79" s="117" t="s">
        <v>591</v>
      </c>
    </row>
    <row r="80" spans="1:2">
      <c r="A80" t="s">
        <v>592</v>
      </c>
      <c r="B80" s="117" t="s">
        <v>593</v>
      </c>
    </row>
    <row r="81" spans="1:2">
      <c r="A81" t="s">
        <v>594</v>
      </c>
      <c r="B81" s="117" t="s">
        <v>595</v>
      </c>
    </row>
    <row r="82" spans="1:2">
      <c r="A82" t="s">
        <v>596</v>
      </c>
      <c r="B82" s="117" t="s">
        <v>597</v>
      </c>
    </row>
    <row r="83" spans="1:2">
      <c r="A83" t="s">
        <v>598</v>
      </c>
      <c r="B83" s="117" t="s">
        <v>599</v>
      </c>
    </row>
    <row r="84" spans="1:2">
      <c r="A84" t="s">
        <v>610</v>
      </c>
      <c r="B84" s="117" t="s">
        <v>611</v>
      </c>
    </row>
    <row r="85" spans="1:2">
      <c r="A85" t="s">
        <v>614</v>
      </c>
      <c r="B85" s="117" t="s">
        <v>615</v>
      </c>
    </row>
    <row r="86" spans="1:2">
      <c r="A86" t="s">
        <v>616</v>
      </c>
      <c r="B86" s="117" t="s">
        <v>617</v>
      </c>
    </row>
    <row r="87" spans="1:2">
      <c r="A87" t="s">
        <v>618</v>
      </c>
      <c r="B87" s="117" t="s">
        <v>619</v>
      </c>
    </row>
    <row r="88" spans="1:2">
      <c r="A88" t="s">
        <v>620</v>
      </c>
      <c r="B88" s="117" t="s">
        <v>621</v>
      </c>
    </row>
    <row r="89" spans="1:2">
      <c r="A89" t="s">
        <v>622</v>
      </c>
      <c r="B89" s="117" t="s">
        <v>623</v>
      </c>
    </row>
    <row r="90" spans="1:2">
      <c r="A90" t="s">
        <v>624</v>
      </c>
      <c r="B90" s="117" t="s">
        <v>625</v>
      </c>
    </row>
    <row r="91" spans="1:2">
      <c r="A91" t="s">
        <v>626</v>
      </c>
      <c r="B91" s="117" t="s">
        <v>627</v>
      </c>
    </row>
    <row r="92" spans="1:2">
      <c r="A92" t="s">
        <v>628</v>
      </c>
      <c r="B92" s="117" t="s">
        <v>629</v>
      </c>
    </row>
    <row r="93" spans="1:2">
      <c r="A93" t="s">
        <v>630</v>
      </c>
      <c r="B93" s="117" t="s">
        <v>631</v>
      </c>
    </row>
    <row r="94" spans="1:2">
      <c r="A94" t="s">
        <v>632</v>
      </c>
      <c r="B94" s="117" t="s">
        <v>633</v>
      </c>
    </row>
    <row r="95" spans="1:2">
      <c r="A95" t="s">
        <v>634</v>
      </c>
      <c r="B95" s="117" t="s">
        <v>635</v>
      </c>
    </row>
    <row r="96" spans="1:2">
      <c r="A96" t="s">
        <v>636</v>
      </c>
      <c r="B96" s="117" t="s">
        <v>637</v>
      </c>
    </row>
    <row r="97" spans="1:2">
      <c r="B97" s="117" t="s">
        <v>638</v>
      </c>
    </row>
    <row r="98" spans="1:2">
      <c r="A98" t="s">
        <v>653</v>
      </c>
      <c r="B98" s="117" t="s">
        <v>654</v>
      </c>
    </row>
    <row r="99" spans="1:2">
      <c r="A99" t="s">
        <v>672</v>
      </c>
      <c r="B99" s="117" t="s">
        <v>673</v>
      </c>
    </row>
    <row r="100" spans="1:2">
      <c r="A100" t="s">
        <v>678</v>
      </c>
      <c r="B100" s="117" t="s">
        <v>679</v>
      </c>
    </row>
    <row r="101" spans="1:2">
      <c r="A101" t="s">
        <v>684</v>
      </c>
      <c r="B101" s="117" t="s">
        <v>685</v>
      </c>
    </row>
    <row r="102" spans="1:2">
      <c r="A102" t="s">
        <v>686</v>
      </c>
      <c r="B102" s="117" t="s">
        <v>687</v>
      </c>
    </row>
    <row r="103" spans="1:2">
      <c r="A103" t="s">
        <v>690</v>
      </c>
      <c r="B103" s="117" t="s">
        <v>691</v>
      </c>
    </row>
    <row r="104" spans="1:2">
      <c r="A104" t="s">
        <v>692</v>
      </c>
      <c r="B104" s="117" t="s">
        <v>693</v>
      </c>
    </row>
    <row r="105" spans="1:2">
      <c r="A105" t="s">
        <v>694</v>
      </c>
      <c r="B105" s="117" t="s">
        <v>695</v>
      </c>
    </row>
    <row r="106" spans="1:2">
      <c r="A106" t="s">
        <v>696</v>
      </c>
      <c r="B106" s="117" t="s">
        <v>697</v>
      </c>
    </row>
    <row r="107" spans="1:2">
      <c r="A107" t="s">
        <v>698</v>
      </c>
      <c r="B107" s="117" t="s">
        <v>699</v>
      </c>
    </row>
    <row r="108" spans="1:2">
      <c r="A108" t="s">
        <v>727</v>
      </c>
      <c r="B108" s="117" t="s">
        <v>728</v>
      </c>
    </row>
    <row r="109" spans="1:2">
      <c r="A109" t="s">
        <v>729</v>
      </c>
      <c r="B109" s="117" t="s">
        <v>730</v>
      </c>
    </row>
    <row r="110" spans="1:2">
      <c r="A110" t="s">
        <v>731</v>
      </c>
      <c r="B110" s="117" t="s">
        <v>732</v>
      </c>
    </row>
    <row r="111" spans="1:2">
      <c r="A111" t="s">
        <v>733</v>
      </c>
      <c r="B111" s="117" t="s">
        <v>734</v>
      </c>
    </row>
    <row r="112" spans="1:2">
      <c r="A112" t="s">
        <v>742</v>
      </c>
      <c r="B112" s="124" t="s">
        <v>743</v>
      </c>
    </row>
    <row r="113" spans="1:2">
      <c r="A113" t="s">
        <v>744</v>
      </c>
      <c r="B113" s="117" t="s">
        <v>745</v>
      </c>
    </row>
    <row r="114" spans="1:2">
      <c r="A114" t="s">
        <v>747</v>
      </c>
      <c r="B114" s="117" t="s">
        <v>746</v>
      </c>
    </row>
    <row r="115" spans="1:2">
      <c r="A115" t="s">
        <v>749</v>
      </c>
      <c r="B115" s="117" t="s">
        <v>751</v>
      </c>
    </row>
    <row r="116" spans="1:2">
      <c r="A116" t="s">
        <v>756</v>
      </c>
      <c r="B116" s="117" t="s">
        <v>757</v>
      </c>
    </row>
    <row r="117" spans="1:2">
      <c r="A117" t="s">
        <v>758</v>
      </c>
      <c r="B117" s="117" t="s">
        <v>759</v>
      </c>
    </row>
    <row r="118" spans="1:2">
      <c r="A118" t="s">
        <v>760</v>
      </c>
      <c r="B118" s="117" t="s">
        <v>761</v>
      </c>
    </row>
    <row r="119" spans="1:2">
      <c r="A119" t="s">
        <v>762</v>
      </c>
      <c r="B119" s="117" t="s">
        <v>763</v>
      </c>
    </row>
    <row r="120" spans="1:2">
      <c r="A120" t="s">
        <v>764</v>
      </c>
      <c r="B120" s="117" t="s">
        <v>765</v>
      </c>
    </row>
    <row r="121" spans="1:2">
      <c r="A121" t="s">
        <v>766</v>
      </c>
      <c r="B121" s="117" t="s">
        <v>767</v>
      </c>
    </row>
    <row r="122" spans="1:2">
      <c r="A122" t="s">
        <v>768</v>
      </c>
      <c r="B122" s="117" t="s">
        <v>769</v>
      </c>
    </row>
    <row r="123" spans="1:2">
      <c r="A123" t="s">
        <v>770</v>
      </c>
      <c r="B123" s="117" t="s">
        <v>771</v>
      </c>
    </row>
    <row r="124" spans="1:2">
      <c r="A124" t="s">
        <v>772</v>
      </c>
      <c r="B124" s="117" t="s">
        <v>773</v>
      </c>
    </row>
    <row r="125" spans="1:2">
      <c r="A125" t="s">
        <v>764</v>
      </c>
      <c r="B125" s="117" t="s">
        <v>765</v>
      </c>
    </row>
    <row r="126" spans="1:2">
      <c r="A126" t="s">
        <v>748</v>
      </c>
      <c r="B126" s="117" t="s">
        <v>750</v>
      </c>
    </row>
    <row r="127" spans="1:2">
      <c r="A127" t="s">
        <v>774</v>
      </c>
      <c r="B127" s="117" t="s">
        <v>775</v>
      </c>
    </row>
    <row r="128" spans="1:2">
      <c r="A128" t="s">
        <v>776</v>
      </c>
      <c r="B128" s="117" t="s">
        <v>777</v>
      </c>
    </row>
    <row r="129" spans="1:2">
      <c r="A129" t="s">
        <v>778</v>
      </c>
      <c r="B129" s="117" t="s">
        <v>779</v>
      </c>
    </row>
    <row r="130" spans="1:2">
      <c r="A130" t="s">
        <v>780</v>
      </c>
      <c r="B130" s="117" t="s">
        <v>781</v>
      </c>
    </row>
    <row r="131" spans="1:2">
      <c r="A131" t="s">
        <v>782</v>
      </c>
      <c r="B131" s="117" t="s">
        <v>783</v>
      </c>
    </row>
    <row r="132" spans="1:2">
      <c r="A132" t="s">
        <v>788</v>
      </c>
      <c r="B132" s="117" t="s">
        <v>789</v>
      </c>
    </row>
    <row r="133" spans="1:2">
      <c r="A133" t="s">
        <v>790</v>
      </c>
      <c r="B133" s="117" t="s">
        <v>791</v>
      </c>
    </row>
    <row r="134" spans="1:2">
      <c r="A134" t="s">
        <v>802</v>
      </c>
      <c r="B134" s="117" t="s">
        <v>803</v>
      </c>
    </row>
    <row r="135" spans="1:2">
      <c r="A135" t="s">
        <v>804</v>
      </c>
      <c r="B135" s="117" t="s">
        <v>805</v>
      </c>
    </row>
    <row r="136" spans="1:2">
      <c r="A136" t="s">
        <v>806</v>
      </c>
      <c r="B136" s="117" t="s">
        <v>808</v>
      </c>
    </row>
    <row r="137" spans="1:2">
      <c r="A137" t="s">
        <v>807</v>
      </c>
    </row>
    <row r="138" spans="1:2">
      <c r="A138" t="s">
        <v>809</v>
      </c>
      <c r="B138" s="117" t="s">
        <v>810</v>
      </c>
    </row>
    <row r="139" spans="1:2">
      <c r="A139" t="s">
        <v>811</v>
      </c>
      <c r="B139" s="117" t="s">
        <v>812</v>
      </c>
    </row>
    <row r="140" spans="1:2">
      <c r="A140" t="s">
        <v>813</v>
      </c>
      <c r="B140" s="117" t="s">
        <v>814</v>
      </c>
    </row>
    <row r="141" spans="1:2">
      <c r="A141" t="s">
        <v>815</v>
      </c>
      <c r="B141" s="117" t="s">
        <v>816</v>
      </c>
    </row>
    <row r="142" spans="1:2">
      <c r="A142" t="s">
        <v>819</v>
      </c>
      <c r="B142" s="117" t="s">
        <v>820</v>
      </c>
    </row>
    <row r="143" spans="1:2">
      <c r="A143" t="s">
        <v>821</v>
      </c>
      <c r="B143" s="117" t="s">
        <v>822</v>
      </c>
    </row>
    <row r="144" spans="1:2">
      <c r="A144" t="s">
        <v>825</v>
      </c>
      <c r="B144" s="117" t="s">
        <v>826</v>
      </c>
    </row>
    <row r="145" spans="1:2">
      <c r="A145" t="s">
        <v>831</v>
      </c>
      <c r="B145" s="117" t="s">
        <v>832</v>
      </c>
    </row>
    <row r="146" spans="1:2">
      <c r="A146" t="s">
        <v>839</v>
      </c>
      <c r="B146" s="117" t="s">
        <v>840</v>
      </c>
    </row>
    <row r="147" spans="1:2">
      <c r="A147" t="s">
        <v>845</v>
      </c>
      <c r="B147" s="117" t="s">
        <v>846</v>
      </c>
    </row>
    <row r="148" spans="1:2">
      <c r="A148" t="s">
        <v>847</v>
      </c>
      <c r="B148" s="117" t="s">
        <v>848</v>
      </c>
    </row>
    <row r="149" spans="1:2">
      <c r="A149" t="s">
        <v>849</v>
      </c>
      <c r="B149" s="117" t="s">
        <v>850</v>
      </c>
    </row>
    <row r="150" spans="1:2">
      <c r="A150" t="s">
        <v>851</v>
      </c>
      <c r="B150" s="117" t="s">
        <v>852</v>
      </c>
    </row>
    <row r="151" spans="1:2">
      <c r="A151" t="s">
        <v>873</v>
      </c>
      <c r="B151" s="117" t="s">
        <v>874</v>
      </c>
    </row>
    <row r="152" spans="1:2">
      <c r="B152" s="117"/>
    </row>
    <row r="153" spans="1:2">
      <c r="A153" t="s">
        <v>314</v>
      </c>
    </row>
    <row r="154" spans="1:2">
      <c r="A154" t="s">
        <v>320</v>
      </c>
      <c r="B154" s="117" t="s">
        <v>319</v>
      </c>
    </row>
    <row r="155" spans="1:2">
      <c r="A155" t="s">
        <v>422</v>
      </c>
      <c r="B155" s="117" t="s">
        <v>423</v>
      </c>
    </row>
    <row r="156" spans="1:2">
      <c r="A156" t="s">
        <v>427</v>
      </c>
      <c r="B156" s="117" t="s">
        <v>426</v>
      </c>
    </row>
    <row r="157" spans="1:2">
      <c r="A157" t="s">
        <v>432</v>
      </c>
      <c r="B157" s="117" t="s">
        <v>433</v>
      </c>
    </row>
    <row r="158" spans="1:2">
      <c r="A158" t="s">
        <v>534</v>
      </c>
      <c r="B158" s="117" t="s">
        <v>533</v>
      </c>
    </row>
    <row r="159" spans="1:2">
      <c r="A159" t="s">
        <v>535</v>
      </c>
      <c r="B159" s="117" t="s">
        <v>536</v>
      </c>
    </row>
    <row r="160" spans="1:2">
      <c r="A160" t="s">
        <v>555</v>
      </c>
      <c r="B160" s="117" t="s">
        <v>556</v>
      </c>
    </row>
    <row r="161" spans="1:2">
      <c r="A161" t="s">
        <v>649</v>
      </c>
      <c r="B161" s="117" t="s">
        <v>650</v>
      </c>
    </row>
    <row r="162" spans="1:2">
      <c r="A162" t="s">
        <v>651</v>
      </c>
      <c r="B162" s="117" t="s">
        <v>652</v>
      </c>
    </row>
    <row r="163" spans="1:2">
      <c r="A163" t="s">
        <v>670</v>
      </c>
      <c r="B163" s="117" t="s">
        <v>671</v>
      </c>
    </row>
    <row r="164" spans="1:2">
      <c r="A164" t="s">
        <v>711</v>
      </c>
      <c r="B164" s="117" t="s">
        <v>712</v>
      </c>
    </row>
    <row r="165" spans="1:2">
      <c r="A165" t="s">
        <v>717</v>
      </c>
      <c r="B165" s="117" t="s">
        <v>718</v>
      </c>
    </row>
    <row r="166" spans="1:2">
      <c r="A166" t="s">
        <v>854</v>
      </c>
      <c r="B166" s="117" t="s">
        <v>855</v>
      </c>
    </row>
    <row r="167" spans="1:2">
      <c r="B167" s="117"/>
    </row>
    <row r="168" spans="1:2">
      <c r="B168" s="117"/>
    </row>
    <row r="169" spans="1:2">
      <c r="A169" t="s">
        <v>387</v>
      </c>
      <c r="B169" s="117"/>
    </row>
    <row r="170" spans="1:2">
      <c r="A170" t="s">
        <v>388</v>
      </c>
      <c r="B170" s="117" t="s">
        <v>389</v>
      </c>
    </row>
    <row r="171" spans="1:2">
      <c r="A171" t="s">
        <v>577</v>
      </c>
      <c r="B171" s="117" t="s">
        <v>578</v>
      </c>
    </row>
    <row r="172" spans="1:2">
      <c r="A172" t="s">
        <v>579</v>
      </c>
      <c r="B172" s="117" t="s">
        <v>580</v>
      </c>
    </row>
    <row r="173" spans="1:2">
      <c r="A173" t="s">
        <v>721</v>
      </c>
      <c r="B173" s="117" t="s">
        <v>722</v>
      </c>
    </row>
    <row r="175" spans="1:2">
      <c r="A175" t="s">
        <v>321</v>
      </c>
    </row>
    <row r="176" spans="1:2">
      <c r="A176" t="s">
        <v>322</v>
      </c>
      <c r="B176" s="117" t="s">
        <v>323</v>
      </c>
    </row>
    <row r="177" spans="1:2">
      <c r="A177" t="s">
        <v>324</v>
      </c>
      <c r="B177" s="117" t="s">
        <v>325</v>
      </c>
    </row>
    <row r="178" spans="1:2">
      <c r="A178" t="s">
        <v>336</v>
      </c>
      <c r="B178" s="117" t="s">
        <v>337</v>
      </c>
    </row>
    <row r="179" spans="1:2">
      <c r="A179" t="s">
        <v>338</v>
      </c>
      <c r="B179" s="117" t="s">
        <v>339</v>
      </c>
    </row>
    <row r="180" spans="1:2">
      <c r="A180" t="s">
        <v>340</v>
      </c>
      <c r="B180" s="117" t="s">
        <v>341</v>
      </c>
    </row>
    <row r="181" spans="1:2">
      <c r="A181" t="s">
        <v>342</v>
      </c>
      <c r="B181" s="117" t="s">
        <v>343</v>
      </c>
    </row>
    <row r="182" spans="1:2">
      <c r="A182" t="s">
        <v>383</v>
      </c>
      <c r="B182" s="117" t="s">
        <v>384</v>
      </c>
    </row>
    <row r="183" spans="1:2">
      <c r="A183" t="s">
        <v>391</v>
      </c>
      <c r="B183" s="117" t="s">
        <v>390</v>
      </c>
    </row>
    <row r="184" spans="1:2">
      <c r="A184" t="s">
        <v>407</v>
      </c>
      <c r="B184" s="117" t="s">
        <v>406</v>
      </c>
    </row>
    <row r="185" spans="1:2">
      <c r="A185" t="s">
        <v>408</v>
      </c>
      <c r="B185" s="117" t="s">
        <v>409</v>
      </c>
    </row>
    <row r="186" spans="1:2">
      <c r="A186" t="s">
        <v>420</v>
      </c>
      <c r="B186" s="117" t="s">
        <v>421</v>
      </c>
    </row>
    <row r="187" spans="1:2">
      <c r="A187" t="s">
        <v>424</v>
      </c>
      <c r="B187" s="117" t="s">
        <v>425</v>
      </c>
    </row>
    <row r="188" spans="1:2">
      <c r="A188" t="s">
        <v>430</v>
      </c>
      <c r="B188" s="117" t="s">
        <v>431</v>
      </c>
    </row>
    <row r="189" spans="1:2">
      <c r="A189" t="s">
        <v>434</v>
      </c>
      <c r="B189" s="117" t="s">
        <v>436</v>
      </c>
    </row>
    <row r="190" spans="1:2">
      <c r="A190" t="s">
        <v>437</v>
      </c>
      <c r="B190" s="117" t="s">
        <v>435</v>
      </c>
    </row>
    <row r="191" spans="1:2">
      <c r="A191" t="s">
        <v>537</v>
      </c>
      <c r="B191" s="117" t="s">
        <v>538</v>
      </c>
    </row>
    <row r="192" spans="1:2">
      <c r="A192" t="s">
        <v>549</v>
      </c>
      <c r="B192" s="117" t="s">
        <v>550</v>
      </c>
    </row>
    <row r="193" spans="1:2">
      <c r="A193" t="s">
        <v>551</v>
      </c>
      <c r="B193" s="117" t="s">
        <v>552</v>
      </c>
    </row>
    <row r="194" spans="1:2">
      <c r="A194" t="s">
        <v>553</v>
      </c>
      <c r="B194" s="117" t="s">
        <v>554</v>
      </c>
    </row>
    <row r="195" spans="1:2">
      <c r="A195" t="s">
        <v>639</v>
      </c>
      <c r="B195" s="117" t="s">
        <v>640</v>
      </c>
    </row>
    <row r="196" spans="1:2">
      <c r="A196" t="s">
        <v>647</v>
      </c>
      <c r="B196" s="117" t="s">
        <v>648</v>
      </c>
    </row>
    <row r="197" spans="1:2">
      <c r="A197" t="s">
        <v>662</v>
      </c>
      <c r="B197" s="117" t="s">
        <v>663</v>
      </c>
    </row>
    <row r="198" spans="1:2">
      <c r="A198" t="s">
        <v>664</v>
      </c>
      <c r="B198" s="117" t="s">
        <v>665</v>
      </c>
    </row>
    <row r="199" spans="1:2">
      <c r="A199" t="s">
        <v>668</v>
      </c>
      <c r="B199" s="117" t="s">
        <v>669</v>
      </c>
    </row>
    <row r="200" spans="1:2">
      <c r="A200" t="s">
        <v>713</v>
      </c>
      <c r="B200" s="117" t="s">
        <v>714</v>
      </c>
    </row>
    <row r="201" spans="1:2">
      <c r="A201" t="s">
        <v>719</v>
      </c>
      <c r="B201" s="117" t="s">
        <v>720</v>
      </c>
    </row>
    <row r="202" spans="1:2">
      <c r="A202" t="s">
        <v>723</v>
      </c>
      <c r="B202" s="117" t="s">
        <v>724</v>
      </c>
    </row>
    <row r="203" spans="1:2">
      <c r="A203" t="s">
        <v>725</v>
      </c>
      <c r="B203" s="117" t="s">
        <v>726</v>
      </c>
    </row>
    <row r="204" spans="1:2">
      <c r="A204" t="s">
        <v>736</v>
      </c>
      <c r="B204" s="117" t="s">
        <v>737</v>
      </c>
    </row>
    <row r="205" spans="1:2">
      <c r="A205" t="s">
        <v>738</v>
      </c>
      <c r="B205" s="117" t="s">
        <v>739</v>
      </c>
    </row>
    <row r="206" spans="1:2">
      <c r="A206" t="s">
        <v>740</v>
      </c>
      <c r="B206" s="117" t="s">
        <v>741</v>
      </c>
    </row>
    <row r="207" spans="1:2">
      <c r="A207" t="s">
        <v>784</v>
      </c>
      <c r="B207" s="117" t="s">
        <v>786</v>
      </c>
    </row>
    <row r="208" spans="1:2">
      <c r="A208" t="s">
        <v>785</v>
      </c>
      <c r="B208" s="117" t="s">
        <v>787</v>
      </c>
    </row>
    <row r="209" spans="1:2">
      <c r="A209" t="s">
        <v>792</v>
      </c>
      <c r="B209" s="117" t="s">
        <v>794</v>
      </c>
    </row>
    <row r="210" spans="1:2">
      <c r="A210" t="s">
        <v>793</v>
      </c>
      <c r="B210" s="117" t="s">
        <v>795</v>
      </c>
    </row>
    <row r="211" spans="1:2">
      <c r="A211" t="s">
        <v>796</v>
      </c>
      <c r="B211" s="117" t="s">
        <v>798</v>
      </c>
    </row>
    <row r="212" spans="1:2">
      <c r="A212" t="s">
        <v>797</v>
      </c>
      <c r="B212" s="117" t="s">
        <v>799</v>
      </c>
    </row>
    <row r="213" spans="1:2">
      <c r="A213" t="s">
        <v>800</v>
      </c>
      <c r="B213" s="117" t="s">
        <v>801</v>
      </c>
    </row>
    <row r="214" spans="1:2">
      <c r="A214" t="s">
        <v>827</v>
      </c>
      <c r="B214" s="117" t="s">
        <v>828</v>
      </c>
    </row>
    <row r="215" spans="1:2">
      <c r="A215" t="s">
        <v>829</v>
      </c>
      <c r="B215" s="117" t="s">
        <v>830</v>
      </c>
    </row>
    <row r="216" spans="1:2">
      <c r="A216" t="s">
        <v>833</v>
      </c>
      <c r="B216" s="117" t="s">
        <v>837</v>
      </c>
    </row>
    <row r="217" spans="1:2">
      <c r="A217" t="s">
        <v>834</v>
      </c>
      <c r="B217" s="117" t="s">
        <v>838</v>
      </c>
    </row>
    <row r="218" spans="1:2">
      <c r="A218" t="s">
        <v>835</v>
      </c>
      <c r="B218" s="117" t="s">
        <v>836</v>
      </c>
    </row>
    <row r="219" spans="1:2">
      <c r="A219" t="s">
        <v>841</v>
      </c>
      <c r="B219" s="117" t="s">
        <v>844</v>
      </c>
    </row>
    <row r="220" spans="1:2">
      <c r="A220" t="s">
        <v>842</v>
      </c>
      <c r="B220" s="117" t="s">
        <v>843</v>
      </c>
    </row>
    <row r="221" spans="1:2">
      <c r="A221" t="s">
        <v>861</v>
      </c>
      <c r="B221" s="117" t="s">
        <v>862</v>
      </c>
    </row>
    <row r="222" spans="1:2">
      <c r="A222" t="s">
        <v>865</v>
      </c>
      <c r="B222" s="117" t="s">
        <v>866</v>
      </c>
    </row>
    <row r="223" spans="1:2">
      <c r="A223" t="s">
        <v>867</v>
      </c>
      <c r="B223" s="117" t="s">
        <v>868</v>
      </c>
    </row>
  </sheetData>
  <phoneticPr fontId="1"/>
  <hyperlinks>
    <hyperlink ref="B5" r:id="rId1"/>
    <hyperlink ref="B6" r:id="rId2"/>
    <hyperlink ref="B55" r:id="rId3"/>
    <hyperlink ref="B56" r:id="rId4"/>
    <hyperlink ref="B57" r:id="rId5"/>
    <hyperlink ref="B58" r:id="rId6"/>
    <hyperlink ref="B59" r:id="rId7"/>
    <hyperlink ref="B60" r:id="rId8"/>
    <hyperlink ref="B7" r:id="rId9"/>
    <hyperlink ref="B9" r:id="rId10"/>
    <hyperlink ref="B154" r:id="rId11"/>
    <hyperlink ref="B176" r:id="rId12"/>
    <hyperlink ref="B177" r:id="rId13"/>
    <hyperlink ref="B61" r:id="rId14"/>
    <hyperlink ref="B11" r:id="rId15"/>
    <hyperlink ref="B10" r:id="rId16"/>
    <hyperlink ref="B12" r:id="rId17"/>
    <hyperlink ref="B62" r:id="rId18"/>
    <hyperlink ref="B178" r:id="rId19"/>
    <hyperlink ref="B179" r:id="rId20"/>
    <hyperlink ref="B180" r:id="rId21"/>
    <hyperlink ref="B181" r:id="rId22"/>
    <hyperlink ref="B182" r:id="rId23" location="NULL"/>
    <hyperlink ref="B13" r:id="rId24"/>
    <hyperlink ref="B170" r:id="rId25"/>
    <hyperlink ref="B183" r:id="rId26"/>
    <hyperlink ref="B14" r:id="rId27"/>
    <hyperlink ref="B8" r:id="rId28" location="section1"/>
    <hyperlink ref="B15" r:id="rId29"/>
    <hyperlink ref="B16" r:id="rId30"/>
    <hyperlink ref="B17" r:id="rId31"/>
    <hyperlink ref="B18" r:id="rId32"/>
    <hyperlink ref="B184" r:id="rId33"/>
    <hyperlink ref="B185" r:id="rId34"/>
    <hyperlink ref="B19" r:id="rId35"/>
    <hyperlink ref="B20" r:id="rId36"/>
    <hyperlink ref="B21" r:id="rId37"/>
    <hyperlink ref="B186" r:id="rId38"/>
    <hyperlink ref="B155" r:id="rId39"/>
    <hyperlink ref="B187" r:id="rId40"/>
    <hyperlink ref="B156" r:id="rId41"/>
    <hyperlink ref="B22" r:id="rId42"/>
    <hyperlink ref="B188" r:id="rId43"/>
    <hyperlink ref="B157" r:id="rId44"/>
    <hyperlink ref="B190" r:id="rId45"/>
    <hyperlink ref="B189" r:id="rId46"/>
    <hyperlink ref="B63" r:id="rId47"/>
    <hyperlink ref="B64" r:id="rId48"/>
    <hyperlink ref="B65" r:id="rId49"/>
    <hyperlink ref="B66" r:id="rId50"/>
    <hyperlink ref="B158" r:id="rId51"/>
    <hyperlink ref="B159" r:id="rId52"/>
    <hyperlink ref="B191" r:id="rId53"/>
    <hyperlink ref="B23" r:id="rId54"/>
    <hyperlink ref="B24" r:id="rId55"/>
    <hyperlink ref="B25" r:id="rId56"/>
    <hyperlink ref="B192" r:id="rId57"/>
    <hyperlink ref="B193" r:id="rId58" location="sec1"/>
    <hyperlink ref="B194" r:id="rId59"/>
    <hyperlink ref="B160" r:id="rId60"/>
    <hyperlink ref="B67" r:id="rId61"/>
    <hyperlink ref="B68" r:id="rId62"/>
    <hyperlink ref="B69" r:id="rId63"/>
    <hyperlink ref="B70" r:id="rId64" location="return"/>
    <hyperlink ref="B71" r:id="rId65"/>
    <hyperlink ref="B72" r:id="rId66"/>
    <hyperlink ref="B73" r:id="rId67"/>
    <hyperlink ref="B26" r:id="rId68"/>
    <hyperlink ref="B27" r:id="rId69"/>
    <hyperlink ref="B74" r:id="rId70"/>
    <hyperlink ref="B171" r:id="rId71"/>
    <hyperlink ref="B172" r:id="rId72"/>
    <hyperlink ref="B75" r:id="rId73"/>
    <hyperlink ref="B77" r:id="rId74"/>
    <hyperlink ref="B78" r:id="rId75"/>
    <hyperlink ref="B79" r:id="rId76"/>
    <hyperlink ref="B80" r:id="rId77"/>
    <hyperlink ref="B81" r:id="rId78"/>
    <hyperlink ref="B82" r:id="rId79"/>
    <hyperlink ref="B83" r:id="rId80"/>
    <hyperlink ref="B84" r:id="rId81"/>
    <hyperlink ref="B28" r:id="rId82"/>
    <hyperlink ref="B86" r:id="rId83"/>
    <hyperlink ref="B87" r:id="rId84"/>
    <hyperlink ref="B88" r:id="rId85"/>
    <hyperlink ref="B89" r:id="rId86"/>
    <hyperlink ref="B90" r:id="rId87"/>
    <hyperlink ref="B91" r:id="rId88"/>
    <hyperlink ref="B92" r:id="rId89"/>
    <hyperlink ref="B94" r:id="rId90"/>
    <hyperlink ref="B95" r:id="rId91"/>
    <hyperlink ref="B96" r:id="rId92"/>
    <hyperlink ref="B97" r:id="rId93"/>
    <hyperlink ref="B195" r:id="rId94"/>
    <hyperlink ref="B196" r:id="rId95"/>
    <hyperlink ref="B161" r:id="rId96"/>
    <hyperlink ref="B162" r:id="rId97"/>
    <hyperlink ref="B98" r:id="rId98"/>
    <hyperlink ref="B29" r:id="rId99"/>
    <hyperlink ref="B197" r:id="rId100" location="preg_split"/>
    <hyperlink ref="B198" r:id="rId101"/>
    <hyperlink ref="B30" r:id="rId102"/>
    <hyperlink ref="B199" r:id="rId103"/>
    <hyperlink ref="B163" r:id="rId104"/>
    <hyperlink ref="B99" r:id="rId105"/>
    <hyperlink ref="B31" r:id="rId106"/>
    <hyperlink ref="B100" r:id="rId107"/>
    <hyperlink ref="B32" r:id="rId108"/>
    <hyperlink ref="B33" r:id="rId109"/>
    <hyperlink ref="B101" r:id="rId110" location="NumberparseInt"/>
    <hyperlink ref="B102" r:id="rId111"/>
    <hyperlink ref="B34" r:id="rId112"/>
    <hyperlink ref="B103" r:id="rId113"/>
    <hyperlink ref="B104" r:id="rId114"/>
    <hyperlink ref="B105" r:id="rId115"/>
    <hyperlink ref="B106" r:id="rId116"/>
    <hyperlink ref="B107" r:id="rId117"/>
    <hyperlink ref="B35" r:id="rId118"/>
    <hyperlink ref="B36" r:id="rId119"/>
    <hyperlink ref="B164" r:id="rId120"/>
    <hyperlink ref="B200" r:id="rId121"/>
    <hyperlink ref="B165" r:id="rId122"/>
    <hyperlink ref="B201" r:id="rId123"/>
    <hyperlink ref="B173" r:id="rId124"/>
    <hyperlink ref="B202" r:id="rId125"/>
    <hyperlink ref="B203" r:id="rId126"/>
    <hyperlink ref="B108" r:id="rId127"/>
    <hyperlink ref="B109" r:id="rId128"/>
    <hyperlink ref="B110" r:id="rId129"/>
    <hyperlink ref="B111" r:id="rId130"/>
    <hyperlink ref="B204" r:id="rId131"/>
    <hyperlink ref="B205" r:id="rId132"/>
    <hyperlink ref="B206" r:id="rId133"/>
    <hyperlink ref="B112" r:id="rId134"/>
    <hyperlink ref="B113" r:id="rId135"/>
    <hyperlink ref="B114" r:id="rId136"/>
    <hyperlink ref="B115" r:id="rId137"/>
    <hyperlink ref="B37" r:id="rId138"/>
    <hyperlink ref="B38" r:id="rId139"/>
    <hyperlink ref="B207" r:id="rId140"/>
    <hyperlink ref="B208" r:id="rId141"/>
    <hyperlink ref="B209" r:id="rId142"/>
    <hyperlink ref="B210" r:id="rId143"/>
    <hyperlink ref="B211" r:id="rId144"/>
    <hyperlink ref="B212" r:id="rId145"/>
    <hyperlink ref="B213" r:id="rId146"/>
    <hyperlink ref="B141" r:id="rId147"/>
    <hyperlink ref="B39" r:id="rId148"/>
    <hyperlink ref="B144" r:id="rId149"/>
    <hyperlink ref="B214" r:id="rId150"/>
    <hyperlink ref="B215" r:id="rId151"/>
    <hyperlink ref="B218" r:id="rId152"/>
    <hyperlink ref="B216" r:id="rId153"/>
    <hyperlink ref="B217" r:id="rId154"/>
    <hyperlink ref="B220" r:id="rId155"/>
    <hyperlink ref="B219" r:id="rId156"/>
    <hyperlink ref="B147" r:id="rId157"/>
    <hyperlink ref="B148" r:id="rId158"/>
    <hyperlink ref="B149" r:id="rId159"/>
    <hyperlink ref="B150" r:id="rId160"/>
    <hyperlink ref="B166" r:id="rId161"/>
    <hyperlink ref="B221" r:id="rId162"/>
    <hyperlink ref="B41" r:id="rId163"/>
    <hyperlink ref="B222" r:id="rId164"/>
    <hyperlink ref="B223" r:id="rId165"/>
    <hyperlink ref="B42" r:id="rId166"/>
    <hyperlink ref="B43" r:id="rId167"/>
    <hyperlink ref="B151" r:id="rId168"/>
    <hyperlink ref="B44" r:id="rId169"/>
    <hyperlink ref="B45" r:id="rId170"/>
    <hyperlink ref="B46" r:id="rId171"/>
    <hyperlink ref="B47" r:id="rId172"/>
    <hyperlink ref="B48" r:id="rId173"/>
    <hyperlink ref="B49" r:id="rId174"/>
    <hyperlink ref="B51" r:id="rId175"/>
  </hyperlinks>
  <pageMargins left="0.7" right="0.7" top="0.75" bottom="0.75" header="0.3" footer="0.3"/>
  <pageSetup paperSize="9" orientation="portrait" horizontalDpi="0" verticalDpi="0" r:id="rId17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27"/>
  <sheetViews>
    <sheetView workbookViewId="0"/>
  </sheetViews>
  <sheetFormatPr defaultRowHeight="13.3"/>
  <cols>
    <col min="1" max="1" width="17.25" customWidth="1"/>
  </cols>
  <sheetData>
    <row r="2" spans="1:2" ht="23.8">
      <c r="A2" s="30" t="s">
        <v>344</v>
      </c>
    </row>
    <row r="4" spans="1:2">
      <c r="A4" s="119" t="s">
        <v>345</v>
      </c>
    </row>
    <row r="5" spans="1:2">
      <c r="A5" s="119" t="s">
        <v>365</v>
      </c>
    </row>
    <row r="6" spans="1:2">
      <c r="A6" t="s">
        <v>346</v>
      </c>
      <c r="B6" t="s">
        <v>347</v>
      </c>
    </row>
    <row r="7" spans="1:2">
      <c r="A7" t="s">
        <v>348</v>
      </c>
      <c r="B7" t="s">
        <v>200</v>
      </c>
    </row>
    <row r="8" spans="1:2">
      <c r="A8" t="s">
        <v>349</v>
      </c>
      <c r="B8" t="s">
        <v>350</v>
      </c>
    </row>
    <row r="9" spans="1:2">
      <c r="A9" t="s">
        <v>351</v>
      </c>
      <c r="B9" t="s">
        <v>352</v>
      </c>
    </row>
    <row r="10" spans="1:2">
      <c r="A10" t="s">
        <v>353</v>
      </c>
      <c r="B10" t="s">
        <v>354</v>
      </c>
    </row>
    <row r="11" spans="1:2">
      <c r="A11" t="s">
        <v>355</v>
      </c>
      <c r="B11" t="s">
        <v>356</v>
      </c>
    </row>
    <row r="12" spans="1:2">
      <c r="A12" t="s">
        <v>357</v>
      </c>
      <c r="B12" t="s">
        <v>358</v>
      </c>
    </row>
    <row r="13" spans="1:2">
      <c r="A13" t="s">
        <v>359</v>
      </c>
      <c r="B13" t="s">
        <v>360</v>
      </c>
    </row>
    <row r="14" spans="1:2">
      <c r="A14" t="s">
        <v>361</v>
      </c>
      <c r="B14" t="s">
        <v>362</v>
      </c>
    </row>
    <row r="15" spans="1:2">
      <c r="A15" t="s">
        <v>363</v>
      </c>
      <c r="B15" t="s">
        <v>364</v>
      </c>
    </row>
    <row r="17" spans="1:2">
      <c r="A17" s="119" t="s">
        <v>366</v>
      </c>
    </row>
    <row r="18" spans="1:2">
      <c r="A18" t="s">
        <v>367</v>
      </c>
      <c r="B18" t="s">
        <v>368</v>
      </c>
    </row>
    <row r="19" spans="1:2">
      <c r="A19" t="s">
        <v>369</v>
      </c>
      <c r="B19" t="s">
        <v>370</v>
      </c>
    </row>
    <row r="20" spans="1:2">
      <c r="A20" t="s">
        <v>374</v>
      </c>
      <c r="B20" t="s">
        <v>373</v>
      </c>
    </row>
    <row r="21" spans="1:2">
      <c r="A21" t="s">
        <v>371</v>
      </c>
      <c r="B21" t="s">
        <v>372</v>
      </c>
    </row>
    <row r="23" spans="1:2">
      <c r="A23" s="119" t="s">
        <v>375</v>
      </c>
    </row>
    <row r="24" spans="1:2">
      <c r="A24" t="s">
        <v>376</v>
      </c>
      <c r="B24" t="s">
        <v>377</v>
      </c>
    </row>
    <row r="25" spans="1:2">
      <c r="A25" t="s">
        <v>367</v>
      </c>
      <c r="B25" t="s">
        <v>368</v>
      </c>
    </row>
    <row r="26" spans="1:2">
      <c r="A26" t="s">
        <v>378</v>
      </c>
      <c r="B26" t="s">
        <v>370</v>
      </c>
    </row>
    <row r="27" spans="1:2">
      <c r="A27" t="s">
        <v>379</v>
      </c>
      <c r="B27" t="s">
        <v>380</v>
      </c>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WBS</vt:lpstr>
      <vt:lpstr>ガント</vt:lpstr>
      <vt:lpstr>DB表情報</vt:lpstr>
      <vt:lpstr>SQL</vt:lpstr>
      <vt:lpstr>ユーザ</vt:lpstr>
      <vt:lpstr>テーブルメモ</vt:lpstr>
      <vt:lpstr>調べたこと</vt:lpstr>
      <vt:lpstr>変数メモ</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kouhei</dc:creator>
  <cp:lastModifiedBy>kouhei</cp:lastModifiedBy>
  <dcterms:created xsi:type="dcterms:W3CDTF">2018-07-31T13:26:16Z</dcterms:created>
  <dcterms:modified xsi:type="dcterms:W3CDTF">2018-10-13T08:49:48Z</dcterms:modified>
</cp:coreProperties>
</file>